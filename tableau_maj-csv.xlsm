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rikp\Bureau\inscrits\"/>
    </mc:Choice>
  </mc:AlternateContent>
  <xr:revisionPtr revIDLastSave="0" documentId="13_ncr:1_{E50CB15E-277E-43EE-98A2-7417B73E7D09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novembre" sheetId="9" r:id="rId1"/>
    <sheet name="pam" sheetId="15" r:id="rId2"/>
    <sheet name="encours" sheetId="1" r:id="rId3"/>
    <sheet name="notes" sheetId="8" r:id="rId4"/>
    <sheet name="octobre" sheetId="5" r:id="rId5"/>
    <sheet name="septembre" sheetId="6" r:id="rId6"/>
    <sheet name="aout" sheetId="2" r:id="rId7"/>
    <sheet name="ote" sheetId="3" r:id="rId8"/>
    <sheet name="avril" sheetId="16" r:id="rId9"/>
    <sheet name="mars" sheetId="13" r:id="rId10"/>
    <sheet name="fevrier" sheetId="12" r:id="rId11"/>
    <sheet name="janvier" sheetId="10" r:id="rId12"/>
    <sheet name="base" sheetId="4" r:id="rId13"/>
    <sheet name="feuil1" sheetId="14" r:id="rId14"/>
    <sheet name="Feuil2" sheetId="11" r:id="rId15"/>
  </sheets>
  <definedNames>
    <definedName name="_xlnm._FilterDatabase" localSheetId="2" hidden="1">encours!$A$1:$CT$41</definedName>
    <definedName name="_xlnm._FilterDatabase" localSheetId="14" hidden="1">Feuil2!$A$1:$F$248</definedName>
    <definedName name="_xlnm._FilterDatabase" localSheetId="1" hidden="1">pam!$A$1:$CT$42</definedName>
    <definedName name="_xlnm._FilterDatabase" localSheetId="5" hidden="1">septembre!$A$1:$AV$111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6" i="16" l="1"/>
  <c r="B26" i="16"/>
  <c r="C25" i="16"/>
  <c r="B25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C3" i="16"/>
  <c r="B3" i="16"/>
  <c r="B5" i="13"/>
  <c r="C5" i="13"/>
  <c r="B15" i="13"/>
  <c r="C15" i="13"/>
  <c r="B3" i="13"/>
  <c r="C3" i="13"/>
  <c r="B10" i="13"/>
  <c r="C10" i="13"/>
  <c r="B23" i="13"/>
  <c r="C23" i="13"/>
  <c r="B14" i="13"/>
  <c r="C14" i="13"/>
  <c r="B9" i="13"/>
  <c r="C9" i="13"/>
  <c r="B16" i="13"/>
  <c r="C16" i="13"/>
  <c r="B17" i="13"/>
  <c r="C17" i="13"/>
  <c r="B4" i="15"/>
  <c r="C4" i="15"/>
  <c r="B5" i="15"/>
  <c r="C5" i="15"/>
  <c r="B6" i="15"/>
  <c r="C6" i="15"/>
  <c r="B7" i="15"/>
  <c r="C7" i="15"/>
  <c r="B8" i="15"/>
  <c r="C8" i="15"/>
  <c r="B9" i="15"/>
  <c r="C9" i="15"/>
  <c r="B10" i="15"/>
  <c r="C10" i="15"/>
  <c r="B11" i="15"/>
  <c r="C11" i="15"/>
  <c r="B12" i="15"/>
  <c r="C12" i="15"/>
  <c r="B13" i="15"/>
  <c r="C13" i="15"/>
  <c r="B14" i="15"/>
  <c r="C14" i="15"/>
  <c r="B15" i="15"/>
  <c r="C15" i="15"/>
  <c r="B16" i="15"/>
  <c r="C16" i="15"/>
  <c r="B17" i="15"/>
  <c r="C17" i="15"/>
  <c r="B18" i="15"/>
  <c r="C18" i="15"/>
  <c r="B19" i="15"/>
  <c r="C19" i="15"/>
  <c r="B20" i="15"/>
  <c r="C20" i="15"/>
  <c r="B21" i="15"/>
  <c r="C21" i="15"/>
  <c r="B22" i="15"/>
  <c r="C22" i="15"/>
  <c r="B23" i="15"/>
  <c r="C23" i="15"/>
  <c r="B24" i="15"/>
  <c r="C24" i="15"/>
  <c r="B25" i="15"/>
  <c r="C25" i="15"/>
  <c r="B26" i="15"/>
  <c r="C26" i="15"/>
  <c r="B27" i="15"/>
  <c r="C27" i="15"/>
  <c r="B28" i="15"/>
  <c r="C28" i="15"/>
  <c r="B29" i="15"/>
  <c r="C29" i="15"/>
  <c r="B30" i="15"/>
  <c r="C30" i="15"/>
  <c r="B31" i="15"/>
  <c r="C31" i="15"/>
  <c r="B32" i="15"/>
  <c r="C32" i="15"/>
  <c r="B33" i="15"/>
  <c r="C33" i="15"/>
  <c r="B34" i="15"/>
  <c r="C34" i="15"/>
  <c r="B35" i="15"/>
  <c r="C35" i="15"/>
  <c r="B36" i="15"/>
  <c r="C36" i="15"/>
  <c r="B37" i="15"/>
  <c r="C37" i="15"/>
  <c r="B38" i="15"/>
  <c r="C38" i="15"/>
  <c r="B39" i="15"/>
  <c r="C39" i="15"/>
  <c r="C3" i="15"/>
  <c r="B3" i="15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C3" i="1"/>
  <c r="B3" i="1"/>
  <c r="B3" i="5"/>
  <c r="Y94" i="4"/>
  <c r="C122" i="15"/>
  <c r="B122" i="15"/>
  <c r="C121" i="15"/>
  <c r="B121" i="15"/>
  <c r="C120" i="15"/>
  <c r="B120" i="15"/>
  <c r="C119" i="15"/>
  <c r="B119" i="15"/>
  <c r="C118" i="15"/>
  <c r="B118" i="15"/>
  <c r="C117" i="15"/>
  <c r="B117" i="15"/>
  <c r="C116" i="15"/>
  <c r="B116" i="15"/>
  <c r="C115" i="15"/>
  <c r="B115" i="15"/>
  <c r="C114" i="15"/>
  <c r="B114" i="15"/>
  <c r="C113" i="15"/>
  <c r="B113" i="15"/>
  <c r="C112" i="15"/>
  <c r="B112" i="15"/>
  <c r="C111" i="15"/>
  <c r="B111" i="15"/>
  <c r="C110" i="15"/>
  <c r="B110" i="15"/>
  <c r="C109" i="15"/>
  <c r="B109" i="15"/>
  <c r="C108" i="15"/>
  <c r="B108" i="15"/>
  <c r="C107" i="15"/>
  <c r="B107" i="15"/>
  <c r="C106" i="15"/>
  <c r="B106" i="15"/>
  <c r="C105" i="15"/>
  <c r="B105" i="15"/>
  <c r="C104" i="15"/>
  <c r="B104" i="15"/>
  <c r="C103" i="15"/>
  <c r="B103" i="15"/>
  <c r="C102" i="15"/>
  <c r="B102" i="15"/>
  <c r="C101" i="15"/>
  <c r="B101" i="15"/>
  <c r="C100" i="15"/>
  <c r="B100" i="15"/>
  <c r="C99" i="15"/>
  <c r="B99" i="15"/>
  <c r="C98" i="15"/>
  <c r="B98" i="15"/>
  <c r="C97" i="15"/>
  <c r="B97" i="15"/>
  <c r="C96" i="15"/>
  <c r="B96" i="15"/>
  <c r="C95" i="15"/>
  <c r="B95" i="15"/>
  <c r="C94" i="15"/>
  <c r="B94" i="15"/>
  <c r="C93" i="15"/>
  <c r="B93" i="15"/>
  <c r="C92" i="15"/>
  <c r="B92" i="15"/>
  <c r="C91" i="15"/>
  <c r="B91" i="15"/>
  <c r="C90" i="15"/>
  <c r="B90" i="15"/>
  <c r="C89" i="15"/>
  <c r="B89" i="15"/>
  <c r="C88" i="15"/>
  <c r="B88" i="15"/>
  <c r="C87" i="15"/>
  <c r="B87" i="15"/>
  <c r="C86" i="15"/>
  <c r="B86" i="15"/>
  <c r="C85" i="15"/>
  <c r="B85" i="15"/>
  <c r="C84" i="15"/>
  <c r="B84" i="15"/>
  <c r="C83" i="15"/>
  <c r="B83" i="15"/>
  <c r="C82" i="15"/>
  <c r="B82" i="15"/>
  <c r="C81" i="15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2" i="15"/>
  <c r="B42" i="15"/>
  <c r="B8" i="13"/>
  <c r="C8" i="13"/>
  <c r="B11" i="13"/>
  <c r="C11" i="13"/>
  <c r="B12" i="13"/>
  <c r="C12" i="13"/>
  <c r="B6" i="13"/>
  <c r="C6" i="13"/>
  <c r="B7" i="13"/>
  <c r="C7" i="13"/>
  <c r="B13" i="13"/>
  <c r="C13" i="13"/>
  <c r="B18" i="13"/>
  <c r="C18" i="13"/>
  <c r="B19" i="13"/>
  <c r="C19" i="13"/>
  <c r="B20" i="13"/>
  <c r="C20" i="13"/>
  <c r="B21" i="13"/>
  <c r="C21" i="13"/>
  <c r="B22" i="13"/>
  <c r="C22" i="13"/>
  <c r="C4" i="13"/>
  <c r="B4" i="13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C3" i="9"/>
  <c r="B3" i="9"/>
  <c r="C26" i="13"/>
  <c r="B26" i="13"/>
  <c r="C25" i="13"/>
  <c r="B25" i="13"/>
  <c r="CU41" i="9"/>
  <c r="CP41" i="9"/>
  <c r="CK41" i="9"/>
  <c r="CF41" i="9"/>
  <c r="CA41" i="9"/>
  <c r="BV41" i="9"/>
  <c r="BQ41" i="9"/>
  <c r="BL41" i="9"/>
  <c r="BG41" i="9"/>
  <c r="BB41" i="9"/>
  <c r="AW41" i="9"/>
  <c r="AR41" i="9"/>
  <c r="AM41" i="9"/>
  <c r="AH41" i="9"/>
  <c r="AC41" i="9"/>
  <c r="X41" i="9"/>
  <c r="S41" i="9"/>
  <c r="N41" i="9"/>
  <c r="I41" i="9"/>
  <c r="D41" i="9"/>
  <c r="B31" i="12"/>
  <c r="C31" i="12"/>
  <c r="B30" i="12"/>
  <c r="C30" i="12"/>
  <c r="CU25" i="10"/>
  <c r="CP25" i="10"/>
  <c r="CK25" i="10"/>
  <c r="CF25" i="10"/>
  <c r="CA25" i="10"/>
  <c r="BV25" i="10"/>
  <c r="BQ25" i="10"/>
  <c r="BL25" i="10"/>
  <c r="BG25" i="10"/>
  <c r="BB25" i="10"/>
  <c r="AW25" i="10"/>
  <c r="AR25" i="10"/>
  <c r="AM25" i="10"/>
  <c r="AH25" i="10"/>
  <c r="AC25" i="10"/>
  <c r="X25" i="10"/>
  <c r="S25" i="10"/>
  <c r="N25" i="10"/>
  <c r="I25" i="10"/>
  <c r="D25" i="10"/>
  <c r="CU33" i="12"/>
  <c r="CP33" i="12"/>
  <c r="CK33" i="12"/>
  <c r="CF33" i="12"/>
  <c r="CA33" i="12"/>
  <c r="BV33" i="12"/>
  <c r="BQ33" i="12"/>
  <c r="BL33" i="12"/>
  <c r="BG33" i="12"/>
  <c r="BB33" i="12"/>
  <c r="AW33" i="12"/>
  <c r="AR33" i="12"/>
  <c r="AM33" i="12"/>
  <c r="AH33" i="12"/>
  <c r="AC33" i="12"/>
  <c r="X33" i="12"/>
  <c r="S33" i="12"/>
  <c r="N33" i="12"/>
  <c r="I33" i="12"/>
  <c r="D33" i="12"/>
  <c r="CU16" i="2"/>
  <c r="CP16" i="2"/>
  <c r="CK16" i="2"/>
  <c r="CF16" i="2"/>
  <c r="CA16" i="2"/>
  <c r="BV16" i="2"/>
  <c r="BQ16" i="2"/>
  <c r="BL16" i="2"/>
  <c r="BG16" i="2"/>
  <c r="BB16" i="2"/>
  <c r="AW16" i="2"/>
  <c r="AR16" i="2"/>
  <c r="AM16" i="2"/>
  <c r="AH16" i="2"/>
  <c r="AC16" i="2"/>
  <c r="X16" i="2"/>
  <c r="S16" i="2"/>
  <c r="N16" i="2"/>
  <c r="I16" i="2"/>
  <c r="D16" i="2"/>
  <c r="CU35" i="6"/>
  <c r="CP35" i="6"/>
  <c r="CK35" i="6"/>
  <c r="CF35" i="6"/>
  <c r="CA35" i="6"/>
  <c r="BV35" i="6"/>
  <c r="BQ35" i="6"/>
  <c r="BL35" i="6"/>
  <c r="BG35" i="6"/>
  <c r="BB35" i="6"/>
  <c r="AW35" i="6"/>
  <c r="AC35" i="6"/>
  <c r="X35" i="6"/>
  <c r="S35" i="6"/>
  <c r="N35" i="6"/>
  <c r="I35" i="6"/>
  <c r="D35" i="6"/>
  <c r="B19" i="12"/>
  <c r="C19" i="12"/>
  <c r="B18" i="12"/>
  <c r="C18" i="12"/>
  <c r="B23" i="12"/>
  <c r="C23" i="12"/>
  <c r="B26" i="12"/>
  <c r="C26" i="12"/>
  <c r="B13" i="12"/>
  <c r="C13" i="12"/>
  <c r="B5" i="12"/>
  <c r="C5" i="12"/>
  <c r="B22" i="12"/>
  <c r="C22" i="12"/>
  <c r="C35" i="12"/>
  <c r="B35" i="12"/>
  <c r="C34" i="12"/>
  <c r="B34" i="12"/>
  <c r="C32" i="12"/>
  <c r="B32" i="12"/>
  <c r="C29" i="12"/>
  <c r="B29" i="12"/>
  <c r="C28" i="12"/>
  <c r="B28" i="12"/>
  <c r="C27" i="12"/>
  <c r="B27" i="12"/>
  <c r="C25" i="12"/>
  <c r="B25" i="12"/>
  <c r="C24" i="12"/>
  <c r="B24" i="12"/>
  <c r="C21" i="12"/>
  <c r="B21" i="12"/>
  <c r="C20" i="12"/>
  <c r="B20" i="12"/>
  <c r="C17" i="12"/>
  <c r="B17" i="12"/>
  <c r="C16" i="12"/>
  <c r="B16" i="12"/>
  <c r="C15" i="12"/>
  <c r="B15" i="12"/>
  <c r="C14" i="12"/>
  <c r="B14" i="12"/>
  <c r="C12" i="12"/>
  <c r="B12" i="12"/>
  <c r="C11" i="12"/>
  <c r="B11" i="12"/>
  <c r="C10" i="12"/>
  <c r="B10" i="12"/>
  <c r="C9" i="12"/>
  <c r="B9" i="12"/>
  <c r="C8" i="12"/>
  <c r="B8" i="12"/>
  <c r="C7" i="12"/>
  <c r="B7" i="12"/>
  <c r="C6" i="12"/>
  <c r="B6" i="12"/>
  <c r="C4" i="12"/>
  <c r="B4" i="12"/>
  <c r="C3" i="12"/>
  <c r="B3" i="12"/>
  <c r="B7" i="10"/>
  <c r="C7" i="10"/>
  <c r="B6" i="10"/>
  <c r="C6" i="10"/>
  <c r="B3" i="10"/>
  <c r="C3" i="10"/>
  <c r="B13" i="10"/>
  <c r="C13" i="10"/>
  <c r="B12" i="10"/>
  <c r="C12" i="10"/>
  <c r="B10" i="10"/>
  <c r="C10" i="10"/>
  <c r="B22" i="10"/>
  <c r="C22" i="10"/>
  <c r="B14" i="10"/>
  <c r="C14" i="10"/>
  <c r="B17" i="10"/>
  <c r="C17" i="10"/>
  <c r="B11" i="10"/>
  <c r="C11" i="10"/>
  <c r="B4" i="10"/>
  <c r="C4" i="10"/>
  <c r="B5" i="10"/>
  <c r="C5" i="10"/>
  <c r="B19" i="10"/>
  <c r="C19" i="10"/>
  <c r="B16" i="10"/>
  <c r="C16" i="10"/>
  <c r="B9" i="10"/>
  <c r="C9" i="10"/>
  <c r="B20" i="10"/>
  <c r="C20" i="10"/>
  <c r="B8" i="10"/>
  <c r="C8" i="10"/>
  <c r="B24" i="10"/>
  <c r="C24" i="10"/>
  <c r="B15" i="10"/>
  <c r="C15" i="10"/>
  <c r="B18" i="10"/>
  <c r="C18" i="10"/>
  <c r="B21" i="10"/>
  <c r="C21" i="10"/>
  <c r="B23" i="10"/>
  <c r="C23" i="10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2" i="5"/>
  <c r="C42" i="5"/>
  <c r="B43" i="5"/>
  <c r="C43" i="5"/>
  <c r="C3" i="5"/>
  <c r="C27" i="10"/>
  <c r="B27" i="10"/>
  <c r="C26" i="10"/>
  <c r="B26" i="10"/>
  <c r="AJ38" i="5"/>
  <c r="CU41" i="5"/>
  <c r="CP41" i="5"/>
  <c r="CK41" i="5"/>
  <c r="CF41" i="5"/>
  <c r="CA41" i="5"/>
  <c r="BV41" i="5"/>
  <c r="BQ41" i="5"/>
  <c r="BL41" i="5"/>
  <c r="BG41" i="5"/>
  <c r="BB41" i="5"/>
  <c r="AW41" i="5"/>
  <c r="AR41" i="5"/>
  <c r="AM41" i="5"/>
  <c r="AH41" i="5"/>
  <c r="AC41" i="5"/>
  <c r="X41" i="5"/>
  <c r="C43" i="9"/>
  <c r="B43" i="9"/>
  <c r="C42" i="9"/>
  <c r="B42" i="9"/>
  <c r="C3" i="8"/>
  <c r="C4" i="8"/>
  <c r="C2" i="8"/>
  <c r="AE41" i="5"/>
  <c r="P41" i="5"/>
  <c r="K41" i="5"/>
  <c r="F41" i="5"/>
  <c r="U41" i="5"/>
  <c r="Y93" i="4"/>
  <c r="Y92" i="4"/>
  <c r="B40" i="5" s="1"/>
  <c r="C41" i="5" l="1"/>
  <c r="B41" i="5"/>
  <c r="B25" i="10"/>
  <c r="C25" i="10"/>
  <c r="B33" i="12"/>
  <c r="B41" i="9"/>
  <c r="C33" i="12"/>
  <c r="C41" i="9"/>
  <c r="B16" i="2"/>
  <c r="C16" i="2"/>
  <c r="B35" i="6"/>
  <c r="C35" i="6"/>
  <c r="C40" i="5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C78" i="6"/>
  <c r="B78" i="6"/>
  <c r="C77" i="6"/>
  <c r="B77" i="6"/>
  <c r="C76" i="6"/>
  <c r="B76" i="6"/>
  <c r="C75" i="6"/>
  <c r="B75" i="6"/>
  <c r="C74" i="6"/>
  <c r="B74" i="6"/>
  <c r="C73" i="6"/>
  <c r="B73" i="6"/>
  <c r="C72" i="6"/>
  <c r="B72" i="6"/>
  <c r="C71" i="6"/>
  <c r="B71" i="6"/>
  <c r="C70" i="6"/>
  <c r="B70" i="6"/>
  <c r="C69" i="6"/>
  <c r="B69" i="6"/>
  <c r="C68" i="6"/>
  <c r="B68" i="6"/>
  <c r="C67" i="6"/>
  <c r="B67" i="6"/>
  <c r="C66" i="6"/>
  <c r="B66" i="6"/>
  <c r="C65" i="6"/>
  <c r="B65" i="6"/>
  <c r="C64" i="6"/>
  <c r="B64" i="6"/>
  <c r="C63" i="6"/>
  <c r="B63" i="6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4" i="6"/>
  <c r="B34" i="6"/>
  <c r="C33" i="6"/>
  <c r="B33" i="6"/>
  <c r="C32" i="6"/>
  <c r="B32" i="6"/>
  <c r="AS31" i="6"/>
  <c r="AT31" i="6" s="1"/>
  <c r="AR31" i="6"/>
  <c r="AR35" i="6" s="1"/>
  <c r="C31" i="6"/>
  <c r="AI31" i="6" s="1"/>
  <c r="B31" i="6"/>
  <c r="C30" i="6"/>
  <c r="B30" i="6"/>
  <c r="C29" i="6"/>
  <c r="B29" i="6"/>
  <c r="C28" i="6"/>
  <c r="B28" i="6"/>
  <c r="AN27" i="6"/>
  <c r="C27" i="6"/>
  <c r="AI27" i="6" s="1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C6" i="6"/>
  <c r="B6" i="6"/>
  <c r="C5" i="6"/>
  <c r="B5" i="6"/>
  <c r="C4" i="6"/>
  <c r="B4" i="6"/>
  <c r="C3" i="6"/>
  <c r="B3" i="6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C3" i="2"/>
  <c r="B3" i="2"/>
  <c r="C4" i="3"/>
  <c r="AU31" i="6" l="1"/>
  <c r="AV31" i="6" s="1"/>
  <c r="AK31" i="6"/>
  <c r="AJ31" i="6"/>
  <c r="AH31" i="6"/>
  <c r="AH35" i="6" s="1"/>
  <c r="AM31" i="6" l="1"/>
  <c r="AL31" i="6"/>
  <c r="AN31" i="6" l="1"/>
  <c r="AM35" i="6"/>
</calcChain>
</file>

<file path=xl/sharedStrings.xml><?xml version="1.0" encoding="utf-8"?>
<sst xmlns="http://schemas.openxmlformats.org/spreadsheetml/2006/main" count="3266" uniqueCount="1157">
  <si>
    <t>Informations clés</t>
  </si>
  <si>
    <t>CDL Sprint Besançon(25) 20/09</t>
  </si>
  <si>
    <t>CO-VTT CDL Mass Start E2 Grenant(21) 27/09</t>
  </si>
  <si>
    <t>Nom</t>
  </si>
  <si>
    <t>S.I.</t>
  </si>
  <si>
    <t>Cat.</t>
  </si>
  <si>
    <t>1.Circ.</t>
  </si>
  <si>
    <t>1.Hor.</t>
  </si>
  <si>
    <t>1.Rés.</t>
  </si>
  <si>
    <t>1.Pl.</t>
  </si>
  <si>
    <t>écart</t>
  </si>
  <si>
    <t>2.Circ.</t>
  </si>
  <si>
    <t>2.Hor.</t>
  </si>
  <si>
    <t>2.Rés.</t>
  </si>
  <si>
    <t>2.Pl.</t>
  </si>
  <si>
    <t>3.Circ.</t>
  </si>
  <si>
    <t>3.Hor.</t>
  </si>
  <si>
    <t>3.Rés.</t>
  </si>
  <si>
    <t>3.Pl.</t>
  </si>
  <si>
    <t>4.Circ.</t>
  </si>
  <si>
    <t>4.Hor.</t>
  </si>
  <si>
    <t>4.Rés.</t>
  </si>
  <si>
    <t>4.Pl.</t>
  </si>
  <si>
    <t>5.Circ.</t>
  </si>
  <si>
    <t>5.Hor.</t>
  </si>
  <si>
    <t>5.Rés.</t>
  </si>
  <si>
    <t>5.Pl.</t>
  </si>
  <si>
    <t>6.Circ.</t>
  </si>
  <si>
    <t>6.Hor.</t>
  </si>
  <si>
    <t>6.Rés.</t>
  </si>
  <si>
    <t>6.Pl.</t>
  </si>
  <si>
    <t>7.Circ.</t>
  </si>
  <si>
    <t>7.Hor.</t>
  </si>
  <si>
    <t>7.Rés.</t>
  </si>
  <si>
    <t>7.Pl.</t>
  </si>
  <si>
    <t>8.Circ.</t>
  </si>
  <si>
    <t>8.Hor.</t>
  </si>
  <si>
    <t>8.Rés.</t>
  </si>
  <si>
    <t>8.Pl.</t>
  </si>
  <si>
    <t>9.Circ.</t>
  </si>
  <si>
    <t>9.Hor.</t>
  </si>
  <si>
    <t>9.Rés.</t>
  </si>
  <si>
    <t>9.Pl.</t>
  </si>
  <si>
    <t>10.Circ.</t>
  </si>
  <si>
    <t>10.Hor.</t>
  </si>
  <si>
    <t>10.Rés.</t>
  </si>
  <si>
    <t>10.Pl.</t>
  </si>
  <si>
    <t>11.Circ.</t>
  </si>
  <si>
    <t>11.Hor.</t>
  </si>
  <si>
    <t>11.Rés.</t>
  </si>
  <si>
    <t>11.Pl.</t>
  </si>
  <si>
    <t>12.Circ.</t>
  </si>
  <si>
    <t>12.Hor.</t>
  </si>
  <si>
    <t>12Rés.</t>
  </si>
  <si>
    <t>12.Pl.</t>
  </si>
  <si>
    <t>13.Circ.</t>
  </si>
  <si>
    <t>13.Hor.</t>
  </si>
  <si>
    <t>13.Rés.</t>
  </si>
  <si>
    <t>13.Pl.</t>
  </si>
  <si>
    <t>14.Circ.</t>
  </si>
  <si>
    <t>14.Hor.</t>
  </si>
  <si>
    <t>14.Rés.</t>
  </si>
  <si>
    <t>14.Pl.</t>
  </si>
  <si>
    <t>15.Circ.</t>
  </si>
  <si>
    <t>15.Hor.</t>
  </si>
  <si>
    <t>15.Rés.</t>
  </si>
  <si>
    <t>15.Pl.</t>
  </si>
  <si>
    <t>H14</t>
  </si>
  <si>
    <t>:</t>
  </si>
  <si>
    <t>E</t>
  </si>
  <si>
    <t>C</t>
  </si>
  <si>
    <t>D</t>
  </si>
  <si>
    <t>H65</t>
  </si>
  <si>
    <t>F</t>
  </si>
  <si>
    <t>M</t>
  </si>
  <si>
    <t>D21</t>
  </si>
  <si>
    <t>B</t>
  </si>
  <si>
    <t>H50</t>
  </si>
  <si>
    <t>Violet Moyen</t>
  </si>
  <si>
    <t>MD rég. Nuits(21) 06/09</t>
  </si>
  <si>
    <t>LD Rég. Curley(21) 13/09</t>
  </si>
  <si>
    <t>CO-VTT CDL Sprint Curley(21) 13/09</t>
  </si>
  <si>
    <t>CDL(IF) Sprint Elancourt(78) 13/09</t>
  </si>
  <si>
    <t>CO-VTT CDL MD Daix(21) 26/09</t>
  </si>
  <si>
    <t>MD Rég. E1 Gissey(21) 27/09</t>
  </si>
  <si>
    <t>NSE Sprint Lambesc(13) 3/10</t>
  </si>
  <si>
    <t>NSE LD Meyrargues(13) 4/10</t>
  </si>
  <si>
    <t>9/20</t>
  </si>
  <si>
    <t>+27:45</t>
  </si>
  <si>
    <t>H21</t>
  </si>
  <si>
    <t>Noir</t>
  </si>
  <si>
    <t>12/21</t>
  </si>
  <si>
    <t>+19:44</t>
  </si>
  <si>
    <t>A</t>
  </si>
  <si>
    <t>D20</t>
  </si>
  <si>
    <t>Violet Long</t>
  </si>
  <si>
    <t>D70</t>
  </si>
  <si>
    <t>Violet Court</t>
  </si>
  <si>
    <t>19/21</t>
  </si>
  <si>
    <t>+49:46</t>
  </si>
  <si>
    <t>21/21</t>
  </si>
  <si>
    <t>+1:04:44</t>
  </si>
  <si>
    <t>14/15</t>
  </si>
  <si>
    <t>+45:19</t>
  </si>
  <si>
    <t>Jaune</t>
  </si>
  <si>
    <t>4/10</t>
  </si>
  <si>
    <t>+23:01</t>
  </si>
  <si>
    <t>G1</t>
  </si>
  <si>
    <t>H75</t>
  </si>
  <si>
    <t>15/21</t>
  </si>
  <si>
    <t>+39:30</t>
  </si>
  <si>
    <t>16/21</t>
  </si>
  <si>
    <t>+31:49</t>
  </si>
  <si>
    <t>+26:20</t>
  </si>
  <si>
    <t>3/21</t>
  </si>
  <si>
    <t>+8:32</t>
  </si>
  <si>
    <t>5/15</t>
  </si>
  <si>
    <t>+8:10</t>
  </si>
  <si>
    <t>+24:55</t>
  </si>
  <si>
    <t>13/15</t>
  </si>
  <si>
    <t>+29:05</t>
  </si>
  <si>
    <t>D50</t>
  </si>
  <si>
    <t>6/20</t>
  </si>
  <si>
    <t>+17:09</t>
  </si>
  <si>
    <t>D65</t>
  </si>
  <si>
    <t>3/4</t>
  </si>
  <si>
    <t>Sprint Vittel(88) 16/08</t>
  </si>
  <si>
    <t>MD Luxeuil(70) 19/08</t>
  </si>
  <si>
    <t>VTT-MD Luxeuil(70) 19/08</t>
  </si>
  <si>
    <t>MD Monthureux(88) 21/08</t>
  </si>
  <si>
    <t>CF Relais de Cat. Claudon(88) 22/08</t>
  </si>
  <si>
    <t>CF LD &amp; Open Claudon(88) 23/08</t>
  </si>
  <si>
    <t>CO-VTT LD Charroux(03) 29/08</t>
  </si>
  <si>
    <t>N</t>
  </si>
  <si>
    <t>+10:23</t>
  </si>
  <si>
    <t>L</t>
  </si>
  <si>
    <t>20/33</t>
  </si>
  <si>
    <t>+33:11</t>
  </si>
  <si>
    <t>H40</t>
  </si>
  <si>
    <t>19/26</t>
  </si>
  <si>
    <t>+9:08</t>
  </si>
  <si>
    <t>18/25</t>
  </si>
  <si>
    <t>+1:12:04</t>
  </si>
  <si>
    <t>D10</t>
  </si>
  <si>
    <t>Q</t>
  </si>
  <si>
    <t>17/22</t>
  </si>
  <si>
    <t>+25:30</t>
  </si>
  <si>
    <t>H55</t>
  </si>
  <si>
    <t>PM</t>
  </si>
  <si>
    <t>*</t>
  </si>
  <si>
    <t>R2 H55</t>
  </si>
  <si>
    <t>R2 H65</t>
  </si>
  <si>
    <t>14/31</t>
  </si>
  <si>
    <t>+22:24</t>
  </si>
  <si>
    <t>D40</t>
  </si>
  <si>
    <t>I</t>
  </si>
  <si>
    <t>31/34</t>
  </si>
  <si>
    <t>+57:26</t>
  </si>
  <si>
    <t>+5:40</t>
  </si>
  <si>
    <t>+51:12</t>
  </si>
  <si>
    <t>+1:22</t>
  </si>
  <si>
    <t>+19:26</t>
  </si>
  <si>
    <t>+4:01</t>
  </si>
  <si>
    <t>H</t>
  </si>
  <si>
    <t>+13:46</t>
  </si>
  <si>
    <t>+14:44</t>
  </si>
  <si>
    <t>13/22</t>
  </si>
  <si>
    <t>+28:15</t>
  </si>
  <si>
    <t>25/29</t>
  </si>
  <si>
    <t>+44:53</t>
  </si>
  <si>
    <t>R1 H65</t>
  </si>
  <si>
    <t>16/27</t>
  </si>
  <si>
    <t>+12:31</t>
  </si>
  <si>
    <t>Orange Long</t>
  </si>
  <si>
    <t>+6:47</t>
  </si>
  <si>
    <t>+8:57</t>
  </si>
  <si>
    <t>R1 H55</t>
  </si>
  <si>
    <t>Open H55</t>
  </si>
  <si>
    <t>+3:32</t>
  </si>
  <si>
    <t>ZHEN Danni</t>
  </si>
  <si>
    <t>+14:10</t>
  </si>
  <si>
    <t>Open D40</t>
  </si>
  <si>
    <t>+12:40</t>
  </si>
  <si>
    <t>Ycone-1 Eric/Franck</t>
  </si>
  <si>
    <t>+14:58</t>
  </si>
  <si>
    <t>Ycone-2 Fabrice/Pierre</t>
  </si>
  <si>
    <t>+6:15</t>
  </si>
  <si>
    <t>11/12</t>
  </si>
  <si>
    <t>1/10</t>
  </si>
  <si>
    <t>8/23</t>
  </si>
  <si>
    <t>4/9</t>
  </si>
  <si>
    <t>3/28</t>
  </si>
  <si>
    <t>6/9</t>
  </si>
  <si>
    <t>11/56</t>
  </si>
  <si>
    <t>11/33</t>
  </si>
  <si>
    <t>12/41</t>
  </si>
  <si>
    <t>7/35</t>
  </si>
  <si>
    <t>6/25</t>
  </si>
  <si>
    <t>8/37</t>
  </si>
  <si>
    <t>7/25</t>
  </si>
  <si>
    <t>+4:04</t>
  </si>
  <si>
    <t>5/10</t>
  </si>
  <si>
    <t>4/21</t>
  </si>
  <si>
    <t>2/11</t>
  </si>
  <si>
    <t>LD Tignécourt(88) 17/08</t>
  </si>
  <si>
    <t>6/28</t>
  </si>
  <si>
    <t>+5:01</t>
  </si>
  <si>
    <t>8903BF</t>
  </si>
  <si>
    <t>YCONE-Sens</t>
  </si>
  <si>
    <t>BF</t>
  </si>
  <si>
    <t>AGOSTINI</t>
  </si>
  <si>
    <t>Emmanuel</t>
  </si>
  <si>
    <t>Compétition</t>
  </si>
  <si>
    <t>AGOSTINI  Emmanuel</t>
  </si>
  <si>
    <t>BARBIER</t>
  </si>
  <si>
    <t>Patrick</t>
  </si>
  <si>
    <t>H60</t>
  </si>
  <si>
    <t>BARBIER  Patrick</t>
  </si>
  <si>
    <t>BARBOSA-DUHAUTOY</t>
  </si>
  <si>
    <t>Céline</t>
  </si>
  <si>
    <t>BARBOSA-DUHAUTOY  Céline</t>
  </si>
  <si>
    <t>BERNARD</t>
  </si>
  <si>
    <t>Gaëtan</t>
  </si>
  <si>
    <t>BERNARD  Gaëtan</t>
  </si>
  <si>
    <t>BOURGOIN</t>
  </si>
  <si>
    <t>Quentin</t>
  </si>
  <si>
    <t>H18</t>
  </si>
  <si>
    <t>H17</t>
  </si>
  <si>
    <t>BOURGOIN  Quentin</t>
  </si>
  <si>
    <t>Sylvain</t>
  </si>
  <si>
    <t>H45</t>
  </si>
  <si>
    <t>BOURGOIN  Sylvain</t>
  </si>
  <si>
    <t>BOUTRON</t>
  </si>
  <si>
    <t>Agathe</t>
  </si>
  <si>
    <t>BOUTRON  Agathe</t>
  </si>
  <si>
    <t>Camille</t>
  </si>
  <si>
    <t>BOUTRON  Camille</t>
  </si>
  <si>
    <t>BOUVIER</t>
  </si>
  <si>
    <t>Gabin</t>
  </si>
  <si>
    <t>BOUVIER  Gabin</t>
  </si>
  <si>
    <t>Grégory</t>
  </si>
  <si>
    <t>BOUVIER  Grégory</t>
  </si>
  <si>
    <t>Léonie</t>
  </si>
  <si>
    <t>BOUVIER  Léonie</t>
  </si>
  <si>
    <t>BRUNEL</t>
  </si>
  <si>
    <t>Marie-Jo</t>
  </si>
  <si>
    <t>BRUNEL  Marie-Jo</t>
  </si>
  <si>
    <t>CHAISY</t>
  </si>
  <si>
    <t>Cléa</t>
  </si>
  <si>
    <t>CHAISY  Cléa</t>
  </si>
  <si>
    <t>Emma</t>
  </si>
  <si>
    <t>D18</t>
  </si>
  <si>
    <t>D17</t>
  </si>
  <si>
    <t>CHAISY  Emma</t>
  </si>
  <si>
    <t>CHAPILLON</t>
  </si>
  <si>
    <t>élouan</t>
  </si>
  <si>
    <t>H10</t>
  </si>
  <si>
    <t>CHAPILLON  élouan</t>
  </si>
  <si>
    <t>Loélie</t>
  </si>
  <si>
    <t>CHAPILLON  Loélie</t>
  </si>
  <si>
    <t>Maëlle</t>
  </si>
  <si>
    <t>D35</t>
  </si>
  <si>
    <t>CHAPILLON  Maëlle</t>
  </si>
  <si>
    <t>Maxence</t>
  </si>
  <si>
    <t>H35</t>
  </si>
  <si>
    <t>CHAPILLON  Maxence</t>
  </si>
  <si>
    <t>CHEVALLIER</t>
  </si>
  <si>
    <t>Pascaline</t>
  </si>
  <si>
    <t>D55</t>
  </si>
  <si>
    <t>CHEVALLIER  Pascaline</t>
  </si>
  <si>
    <t>COLLIN</t>
  </si>
  <si>
    <t>Pierre</t>
  </si>
  <si>
    <t>COLLIN  Pierre</t>
  </si>
  <si>
    <t>COUESNON</t>
  </si>
  <si>
    <t>Lesley-Ann</t>
  </si>
  <si>
    <t>COUESNON  Lesley-Ann</t>
  </si>
  <si>
    <t>Pascal</t>
  </si>
  <si>
    <t>COUESNON  Pascal</t>
  </si>
  <si>
    <t>Rémi</t>
  </si>
  <si>
    <t>COUESNON  Rémi</t>
  </si>
  <si>
    <t>DENIEL</t>
  </si>
  <si>
    <t>Marc</t>
  </si>
  <si>
    <t>DENIEL  Marc</t>
  </si>
  <si>
    <t>Morgan</t>
  </si>
  <si>
    <t>DENIEL  Morgan</t>
  </si>
  <si>
    <t>DUHAUTOY</t>
  </si>
  <si>
    <t>Clémence</t>
  </si>
  <si>
    <t>D16</t>
  </si>
  <si>
    <t>DUHAUTOY  Clémence</t>
  </si>
  <si>
    <t>Noémie</t>
  </si>
  <si>
    <t>DUHAUTOY  Noémie</t>
  </si>
  <si>
    <t>GLAUD</t>
  </si>
  <si>
    <t>GLAUD  Pierre</t>
  </si>
  <si>
    <t>GOURVIL</t>
  </si>
  <si>
    <t>Corentin</t>
  </si>
  <si>
    <t>Découverte Compétition</t>
  </si>
  <si>
    <t>GOURVIL  Corentin</t>
  </si>
  <si>
    <t>GUERIN</t>
  </si>
  <si>
    <t>Franck</t>
  </si>
  <si>
    <t>GUERIN  Franck</t>
  </si>
  <si>
    <t>LANCELOT</t>
  </si>
  <si>
    <t>Kristell</t>
  </si>
  <si>
    <t>LANCELOT  Kristell</t>
  </si>
  <si>
    <t>LENOBLE COLLIN</t>
  </si>
  <si>
    <t>Sandrine</t>
  </si>
  <si>
    <t>LENOBLE COLLIN  Sandrine</t>
  </si>
  <si>
    <t>LOUAT</t>
  </si>
  <si>
    <t>Aimé</t>
  </si>
  <si>
    <t>LOUAT  Aimé</t>
  </si>
  <si>
    <t>MAGNY</t>
  </si>
  <si>
    <t>Eric</t>
  </si>
  <si>
    <t>MAGNY  Eric</t>
  </si>
  <si>
    <t>MICHAUT</t>
  </si>
  <si>
    <t>Elodie</t>
  </si>
  <si>
    <t>MICHAUT  Elodie</t>
  </si>
  <si>
    <t>MOINE</t>
  </si>
  <si>
    <t>Emeline</t>
  </si>
  <si>
    <t>MOINE  Emeline</t>
  </si>
  <si>
    <t>Francis</t>
  </si>
  <si>
    <t>MOINE  Francis</t>
  </si>
  <si>
    <t>Oscar</t>
  </si>
  <si>
    <t>H20</t>
  </si>
  <si>
    <t>MOINE  Oscar</t>
  </si>
  <si>
    <t>NEVEU</t>
  </si>
  <si>
    <t>Isabelle</t>
  </si>
  <si>
    <t>D60</t>
  </si>
  <si>
    <t>NEVEU  Isabelle</t>
  </si>
  <si>
    <t>PIERRE</t>
  </si>
  <si>
    <t>PIERRE  Eric</t>
  </si>
  <si>
    <t>RENIE</t>
  </si>
  <si>
    <t>Cedrick</t>
  </si>
  <si>
    <t>RENIE  Cedrick</t>
  </si>
  <si>
    <t>RENIE-DUMAND</t>
  </si>
  <si>
    <t>Esmée</t>
  </si>
  <si>
    <t>RENIE-DUMAND  Esmée</t>
  </si>
  <si>
    <t>Sacha</t>
  </si>
  <si>
    <t>RENIE-DUMAND  Sacha</t>
  </si>
  <si>
    <t>SELLIER</t>
  </si>
  <si>
    <t>Marion</t>
  </si>
  <si>
    <t>Loisir Santé</t>
  </si>
  <si>
    <t>SELLIER  Marion</t>
  </si>
  <si>
    <t>STEWARD</t>
  </si>
  <si>
    <t>Madeleine</t>
  </si>
  <si>
    <t>STEWARD  Madeleine</t>
  </si>
  <si>
    <t>THOMASSIN</t>
  </si>
  <si>
    <t>Fabrice</t>
  </si>
  <si>
    <t>THOMASSIN  Fabrice</t>
  </si>
  <si>
    <t>Lorraine</t>
  </si>
  <si>
    <t>THOMASSIN  Lorraine</t>
  </si>
  <si>
    <t>VANNOYE</t>
  </si>
  <si>
    <t>Laëtitia</t>
  </si>
  <si>
    <t>VANNOYE  Laëtitia</t>
  </si>
  <si>
    <t>5803BF</t>
  </si>
  <si>
    <t>NORD</t>
  </si>
  <si>
    <t>AMBEC</t>
  </si>
  <si>
    <t>François-xavier</t>
  </si>
  <si>
    <t>AMBEC  François-xavier</t>
  </si>
  <si>
    <t>BIALOU</t>
  </si>
  <si>
    <t>Héloise</t>
  </si>
  <si>
    <t>BIALOU  Héloise</t>
  </si>
  <si>
    <t>Julien</t>
  </si>
  <si>
    <t>BIALOU  Julien</t>
  </si>
  <si>
    <t>Nolan</t>
  </si>
  <si>
    <t>H16</t>
  </si>
  <si>
    <t>BIALOU  Nolan</t>
  </si>
  <si>
    <t>BILLOT</t>
  </si>
  <si>
    <t>BILLOT  Isabelle</t>
  </si>
  <si>
    <t>BLANCHART</t>
  </si>
  <si>
    <t>Jean-Luc</t>
  </si>
  <si>
    <t>BLANCHART  Jean-Luc</t>
  </si>
  <si>
    <t>BOUYON</t>
  </si>
  <si>
    <t>Catherine</t>
  </si>
  <si>
    <t>BOUYON  Catherine</t>
  </si>
  <si>
    <t>Daniel</t>
  </si>
  <si>
    <t>H70</t>
  </si>
  <si>
    <t>BOUYON  Daniel</t>
  </si>
  <si>
    <t>CARTERET</t>
  </si>
  <si>
    <t>Aymery</t>
  </si>
  <si>
    <t>CARTERET  Aymery</t>
  </si>
  <si>
    <t>David</t>
  </si>
  <si>
    <t>CARTERET  David</t>
  </si>
  <si>
    <t>DOUMET</t>
  </si>
  <si>
    <t>DOUMET  Catherine</t>
  </si>
  <si>
    <t>DOUMET  Fabrice</t>
  </si>
  <si>
    <t>GILBERT</t>
  </si>
  <si>
    <t>GILBERT  Céline</t>
  </si>
  <si>
    <t>Florian</t>
  </si>
  <si>
    <t>GILBERT  Florian</t>
  </si>
  <si>
    <t>Naelle</t>
  </si>
  <si>
    <t>GILBERT  Naelle</t>
  </si>
  <si>
    <t>Yannis</t>
  </si>
  <si>
    <t>GILBERT  Yannis</t>
  </si>
  <si>
    <t>GOROSPE</t>
  </si>
  <si>
    <t>Regino</t>
  </si>
  <si>
    <t>GOROSPE  Regino</t>
  </si>
  <si>
    <t>GRANGE</t>
  </si>
  <si>
    <t>Philippe</t>
  </si>
  <si>
    <t>GRANGE  Philippe</t>
  </si>
  <si>
    <t>HENRIOT</t>
  </si>
  <si>
    <t>HENRIOT  Daniel</t>
  </si>
  <si>
    <t>JANDARD</t>
  </si>
  <si>
    <t>JANDARD  Marc</t>
  </si>
  <si>
    <t>KERCOFF</t>
  </si>
  <si>
    <t>KERCOFF  Daniel</t>
  </si>
  <si>
    <t>Helene</t>
  </si>
  <si>
    <t>D75</t>
  </si>
  <si>
    <t>KERCOFF  Helene</t>
  </si>
  <si>
    <t>KNUDSON</t>
  </si>
  <si>
    <t>Kyla</t>
  </si>
  <si>
    <t>D45</t>
  </si>
  <si>
    <t>KNUDSON  Kyla</t>
  </si>
  <si>
    <t>MALNOURY</t>
  </si>
  <si>
    <t>Patrice</t>
  </si>
  <si>
    <t>MALNOURY  Patrice</t>
  </si>
  <si>
    <t>MASSON</t>
  </si>
  <si>
    <t>Mireille</t>
  </si>
  <si>
    <t>MASSON  Mireille</t>
  </si>
  <si>
    <t>MONNE</t>
  </si>
  <si>
    <t>Alain</t>
  </si>
  <si>
    <t>MONNE  Alain</t>
  </si>
  <si>
    <t>MONTJOIE</t>
  </si>
  <si>
    <t>Claire</t>
  </si>
  <si>
    <t>MONTJOIE  Claire</t>
  </si>
  <si>
    <t>NAUDINOT</t>
  </si>
  <si>
    <t>Nolwenn</t>
  </si>
  <si>
    <t>NAUDINOT  Nolwenn</t>
  </si>
  <si>
    <t>NICOLAS</t>
  </si>
  <si>
    <t>NICOLAS  Alain</t>
  </si>
  <si>
    <t>Anne-Marie</t>
  </si>
  <si>
    <t>PIERRE  Anne-Marie</t>
  </si>
  <si>
    <t>Cyrille</t>
  </si>
  <si>
    <t>PIERRE  Cyrille</t>
  </si>
  <si>
    <t>PLANCHARD</t>
  </si>
  <si>
    <t>Virginie</t>
  </si>
  <si>
    <t>PLANCHARD  Virginie</t>
  </si>
  <si>
    <t>PRUDHOMME</t>
  </si>
  <si>
    <t>PRUDHOMME  Alain</t>
  </si>
  <si>
    <t>REGNIER</t>
  </si>
  <si>
    <t>Corinne</t>
  </si>
  <si>
    <t>REGNIER  Corinne</t>
  </si>
  <si>
    <t>SIGNORET</t>
  </si>
  <si>
    <t>SIGNORET  Pascal</t>
  </si>
  <si>
    <t>Valérie</t>
  </si>
  <si>
    <t>SIGNORET  Valérie</t>
  </si>
  <si>
    <t>THIBAUDAT</t>
  </si>
  <si>
    <t>Fabien</t>
  </si>
  <si>
    <t>THIBAUDAT  Fabien</t>
  </si>
  <si>
    <t>TRAULLE</t>
  </si>
  <si>
    <t>Jean-Marc</t>
  </si>
  <si>
    <t>TRAULLE  Jean-Marc</t>
  </si>
  <si>
    <t>WARZECHA</t>
  </si>
  <si>
    <t>Wladimir</t>
  </si>
  <si>
    <t>WARZECHA  Wladimir</t>
  </si>
  <si>
    <t>N°</t>
  </si>
  <si>
    <t>Nbre</t>
  </si>
  <si>
    <t>N° club</t>
  </si>
  <si>
    <t>Ville</t>
  </si>
  <si>
    <t>Li</t>
  </si>
  <si>
    <t>Licence</t>
  </si>
  <si>
    <t>Puce</t>
  </si>
  <si>
    <t>Prénom</t>
  </si>
  <si>
    <t>Né</t>
  </si>
  <si>
    <t>S</t>
  </si>
  <si>
    <t>N° cat.</t>
  </si>
  <si>
    <t>Court</t>
  </si>
  <si>
    <t>clFOR</t>
  </si>
  <si>
    <t>ptFOR</t>
  </si>
  <si>
    <t>clSPR</t>
  </si>
  <si>
    <t>ptSPR</t>
  </si>
  <si>
    <t>plVTT</t>
  </si>
  <si>
    <t>ptVTT</t>
  </si>
  <si>
    <t>Age</t>
  </si>
  <si>
    <t>Cat-VTT</t>
  </si>
  <si>
    <t>SurClass</t>
  </si>
  <si>
    <t>Type-Lic</t>
  </si>
  <si>
    <t>Nom + Prénom</t>
  </si>
  <si>
    <t>Comp</t>
  </si>
  <si>
    <t>Décou</t>
  </si>
  <si>
    <t>Lois</t>
  </si>
  <si>
    <t>Handi</t>
  </si>
  <si>
    <t>Lic.class</t>
  </si>
  <si>
    <t>Nom2</t>
  </si>
  <si>
    <t>Colonne3</t>
  </si>
  <si>
    <t>Abis</t>
  </si>
  <si>
    <t>ZHEN</t>
  </si>
  <si>
    <t>Danni</t>
  </si>
  <si>
    <t>5.écart</t>
  </si>
  <si>
    <t>6.écart</t>
  </si>
  <si>
    <t>7.écart</t>
  </si>
  <si>
    <t>8.écart</t>
  </si>
  <si>
    <t>1.écart</t>
  </si>
  <si>
    <t>9.écart</t>
  </si>
  <si>
    <t>15.écart</t>
  </si>
  <si>
    <t>14.écart</t>
  </si>
  <si>
    <t>13.écart</t>
  </si>
  <si>
    <t>12.écart</t>
  </si>
  <si>
    <t>11.écart</t>
  </si>
  <si>
    <t>10.écart</t>
  </si>
  <si>
    <t>4.écart</t>
  </si>
  <si>
    <t>3.écart</t>
  </si>
  <si>
    <t>2.écart</t>
  </si>
  <si>
    <t>2/2</t>
  </si>
  <si>
    <t>9/10</t>
  </si>
  <si>
    <t>22:32</t>
  </si>
  <si>
    <t>3/9</t>
  </si>
  <si>
    <t>21:03</t>
  </si>
  <si>
    <t>18:11</t>
  </si>
  <si>
    <t>2/4</t>
  </si>
  <si>
    <t>+1:30</t>
  </si>
  <si>
    <t>30:00</t>
  </si>
  <si>
    <t>+6:10</t>
  </si>
  <si>
    <t>29:26</t>
  </si>
  <si>
    <t>+3:13</t>
  </si>
  <si>
    <t>+9:44</t>
  </si>
  <si>
    <t>35:57</t>
  </si>
  <si>
    <t>MD Besançon(25) 20/09</t>
  </si>
  <si>
    <t>+6:41</t>
  </si>
  <si>
    <t>+3:51</t>
  </si>
  <si>
    <t>35/42</t>
  </si>
  <si>
    <t>53:16</t>
  </si>
  <si>
    <t>1:42:02</t>
  </si>
  <si>
    <t>Open B</t>
  </si>
  <si>
    <t>Vert</t>
  </si>
  <si>
    <t>LD Nemours(77) 4/10</t>
  </si>
  <si>
    <t>16.Circ.</t>
  </si>
  <si>
    <t>16.Hor.</t>
  </si>
  <si>
    <t>16.Rés.</t>
  </si>
  <si>
    <t>16.Pl.</t>
  </si>
  <si>
    <t>16.écart</t>
  </si>
  <si>
    <t>LD Fontainebleau(77) 11/10</t>
  </si>
  <si>
    <t>17.Circ.</t>
  </si>
  <si>
    <t>17.Hor.</t>
  </si>
  <si>
    <t>17.Rés.</t>
  </si>
  <si>
    <t>17.Pl.</t>
  </si>
  <si>
    <t>17.écart</t>
  </si>
  <si>
    <t xml:space="preserve">Sprint Avallon(89) 17/10 </t>
  </si>
  <si>
    <t xml:space="preserve">CDL Nuit Avallon(89) 17/10 </t>
  </si>
  <si>
    <t>18.Circ.</t>
  </si>
  <si>
    <t>18.Hor.</t>
  </si>
  <si>
    <t>18.Rés.</t>
  </si>
  <si>
    <t>18.écart</t>
  </si>
  <si>
    <t>18.Pl.</t>
  </si>
  <si>
    <t>Violet très Court</t>
  </si>
  <si>
    <t>19.Circ.</t>
  </si>
  <si>
    <t>19.Hor.</t>
  </si>
  <si>
    <t>19.Rés.</t>
  </si>
  <si>
    <t>19.Pl.</t>
  </si>
  <si>
    <t>19.écart</t>
  </si>
  <si>
    <t>Sprint R. Quetigny(21) 10/10</t>
  </si>
  <si>
    <t>Jaune Dames</t>
  </si>
  <si>
    <t>+36:30</t>
  </si>
  <si>
    <t>+27:25</t>
  </si>
  <si>
    <t>7/8</t>
  </si>
  <si>
    <t>2/5</t>
  </si>
  <si>
    <t>+5:41</t>
  </si>
  <si>
    <t>6/12</t>
  </si>
  <si>
    <t>+17:42</t>
  </si>
  <si>
    <t>+4:30</t>
  </si>
  <si>
    <t>4/6</t>
  </si>
  <si>
    <t>+1:47</t>
  </si>
  <si>
    <t>7/9</t>
  </si>
  <si>
    <t>+51:13</t>
  </si>
  <si>
    <t>8/13</t>
  </si>
  <si>
    <t>+19:45</t>
  </si>
  <si>
    <t/>
  </si>
  <si>
    <t>4/7</t>
  </si>
  <si>
    <t>+5:11</t>
  </si>
  <si>
    <t>3/10</t>
  </si>
  <si>
    <t>+5:52</t>
  </si>
  <si>
    <t>7/27</t>
  </si>
  <si>
    <t>+6:22</t>
  </si>
  <si>
    <t>+20:18</t>
  </si>
  <si>
    <t>15/27</t>
  </si>
  <si>
    <t>17/18</t>
  </si>
  <si>
    <t>+58:36</t>
  </si>
  <si>
    <t>3/23</t>
  </si>
  <si>
    <t>+1:02</t>
  </si>
  <si>
    <t>16/23</t>
  </si>
  <si>
    <t>+25:18</t>
  </si>
  <si>
    <t>13/23</t>
  </si>
  <si>
    <t>+18:37</t>
  </si>
  <si>
    <t>6/10</t>
  </si>
  <si>
    <t>+6:55</t>
  </si>
  <si>
    <t>Abandon</t>
  </si>
  <si>
    <t>5/6</t>
  </si>
  <si>
    <t>+26:50</t>
  </si>
  <si>
    <t>00:19:57</t>
  </si>
  <si>
    <t>01:20:22</t>
  </si>
  <si>
    <t>00:23:10</t>
  </si>
  <si>
    <t>00:34:40</t>
  </si>
  <si>
    <t>00:36:04</t>
  </si>
  <si>
    <t>00:27:41</t>
  </si>
  <si>
    <t>01:00:50</t>
  </si>
  <si>
    <t>01:38:29</t>
  </si>
  <si>
    <t>00:54:09</t>
  </si>
  <si>
    <t>00:19:15</t>
  </si>
  <si>
    <t>00:58:30</t>
  </si>
  <si>
    <t>00:48'36</t>
  </si>
  <si>
    <t>01:17:57</t>
  </si>
  <si>
    <t>00:44:11</t>
  </si>
  <si>
    <t>01:38:14</t>
  </si>
  <si>
    <t>00:54:19</t>
  </si>
  <si>
    <t>02:00:06</t>
  </si>
  <si>
    <t>00:47:06</t>
  </si>
  <si>
    <t>01:22:57</t>
  </si>
  <si>
    <t>01:43:52</t>
  </si>
  <si>
    <t>00:16:56</t>
  </si>
  <si>
    <t>01:20:32</t>
  </si>
  <si>
    <t>01:10:55</t>
  </si>
  <si>
    <t>01:05:09</t>
  </si>
  <si>
    <t>00:47:21</t>
  </si>
  <si>
    <t>01:03:44</t>
  </si>
  <si>
    <t>00:56:15</t>
  </si>
  <si>
    <t>Violet Court Dames</t>
  </si>
  <si>
    <t>Violet très Court Dames</t>
  </si>
  <si>
    <t>Orange Dames</t>
  </si>
  <si>
    <t>Violet Très Court</t>
  </si>
  <si>
    <t>FAVE</t>
  </si>
  <si>
    <t>Arthur</t>
  </si>
  <si>
    <t>H12</t>
  </si>
  <si>
    <t>Guilhem</t>
  </si>
  <si>
    <t>FAVE  Arthur</t>
  </si>
  <si>
    <t>FAVE  Guilhem</t>
  </si>
  <si>
    <t>5/26</t>
  </si>
  <si>
    <t>15:07</t>
  </si>
  <si>
    <t>+1:41</t>
  </si>
  <si>
    <t>1:10:27</t>
  </si>
  <si>
    <t>+18:13</t>
  </si>
  <si>
    <t>5/19</t>
  </si>
  <si>
    <t>19:49</t>
  </si>
  <si>
    <t>1/7</t>
  </si>
  <si>
    <t>+0</t>
  </si>
  <si>
    <t>14/20</t>
  </si>
  <si>
    <t>1:43:54</t>
  </si>
  <si>
    <t>+53:52</t>
  </si>
  <si>
    <t>6/15</t>
  </si>
  <si>
    <t>1:58:28</t>
  </si>
  <si>
    <t>+58:29</t>
  </si>
  <si>
    <t>16/41</t>
  </si>
  <si>
    <t>1:09:04</t>
  </si>
  <si>
    <t>+24:31</t>
  </si>
  <si>
    <t>23/41</t>
  </si>
  <si>
    <t>1:23:12</t>
  </si>
  <si>
    <t>+38:39</t>
  </si>
  <si>
    <t>26/41</t>
  </si>
  <si>
    <t>1:31:50</t>
  </si>
  <si>
    <t>+47/17</t>
  </si>
  <si>
    <t>1:09:27</t>
  </si>
  <si>
    <t>11/53</t>
  </si>
  <si>
    <t>+16:04</t>
  </si>
  <si>
    <t>25/53</t>
  </si>
  <si>
    <t>1:21:53</t>
  </si>
  <si>
    <t>+28:30</t>
  </si>
  <si>
    <t>1:35:28</t>
  </si>
  <si>
    <t>37/53</t>
  </si>
  <si>
    <t>42:05</t>
  </si>
  <si>
    <t>41/53</t>
  </si>
  <si>
    <t>1:48:17</t>
  </si>
  <si>
    <t>+54:54</t>
  </si>
  <si>
    <t>44/53</t>
  </si>
  <si>
    <t>+59:28</t>
  </si>
  <si>
    <t>1:52:50</t>
  </si>
  <si>
    <t>1:14:18</t>
  </si>
  <si>
    <t>+23:14</t>
  </si>
  <si>
    <t>17/61</t>
  </si>
  <si>
    <t>+26:38</t>
  </si>
  <si>
    <t>20/61</t>
  </si>
  <si>
    <t>1:17:42</t>
  </si>
  <si>
    <t>1:53:00</t>
  </si>
  <si>
    <t>51/61</t>
  </si>
  <si>
    <t>+1:01:56</t>
  </si>
  <si>
    <t>1:35:58</t>
  </si>
  <si>
    <t>+32:59</t>
  </si>
  <si>
    <t>Orange</t>
  </si>
  <si>
    <t>C Jaune</t>
  </si>
  <si>
    <t>A  Orange</t>
  </si>
  <si>
    <t>MD rég Col de la République(42) 21/10</t>
  </si>
  <si>
    <t>MD dép Col de la République(42) 22/10</t>
  </si>
  <si>
    <t>City-Race Pélussin(42) 23/10</t>
  </si>
  <si>
    <t>Ycône</t>
  </si>
  <si>
    <t>[Eric1, Mado, Eric2]</t>
  </si>
  <si>
    <t>Ycône [Eric1, Mado, Eric2]</t>
  </si>
  <si>
    <t>Matrus3</t>
  </si>
  <si>
    <t>Matrus1</t>
  </si>
  <si>
    <t>Matrus2</t>
  </si>
  <si>
    <t>Vert Bleu</t>
  </si>
  <si>
    <t>B Orange</t>
  </si>
  <si>
    <t>Total</t>
  </si>
  <si>
    <t>Participant</t>
  </si>
  <si>
    <t>Total Participant</t>
  </si>
  <si>
    <t>.</t>
  </si>
  <si>
    <t>1:04:21</t>
  </si>
  <si>
    <t>6/16</t>
  </si>
  <si>
    <t>2:19:27</t>
  </si>
  <si>
    <t>+1:34:29</t>
  </si>
  <si>
    <t>1:04:41</t>
  </si>
  <si>
    <t>+24:30</t>
  </si>
  <si>
    <t>1:44:15</t>
  </si>
  <si>
    <t>+23:24</t>
  </si>
  <si>
    <t>1:20:24</t>
  </si>
  <si>
    <t>11/16</t>
  </si>
  <si>
    <t>0:17:30</t>
  </si>
  <si>
    <t>+1:45</t>
  </si>
  <si>
    <t>1:44:27</t>
  </si>
  <si>
    <t>+14:41</t>
  </si>
  <si>
    <t>03:35:21</t>
  </si>
  <si>
    <t>+2:05:35</t>
  </si>
  <si>
    <t>1:34:32</t>
  </si>
  <si>
    <t>+28:35</t>
  </si>
  <si>
    <t>16/19</t>
  </si>
  <si>
    <t>1:55:05</t>
  </si>
  <si>
    <t>1:52:54</t>
  </si>
  <si>
    <t>+40:45</t>
  </si>
  <si>
    <t>+33:28</t>
  </si>
  <si>
    <t>1:46:04</t>
  </si>
  <si>
    <t>1:48:19</t>
  </si>
  <si>
    <t>+35:43</t>
  </si>
  <si>
    <t>1:54:20</t>
  </si>
  <si>
    <t>+41:44</t>
  </si>
  <si>
    <t>16/18</t>
  </si>
  <si>
    <t>9/15</t>
  </si>
  <si>
    <t>7/18</t>
  </si>
  <si>
    <t>15/18</t>
  </si>
  <si>
    <t>19/31</t>
  </si>
  <si>
    <t>30/52</t>
  </si>
  <si>
    <t>33/52</t>
  </si>
  <si>
    <t>36/52</t>
  </si>
  <si>
    <t>1:05:40</t>
  </si>
  <si>
    <t>+11:22</t>
  </si>
  <si>
    <t>+27:56</t>
  </si>
  <si>
    <t>+19:23</t>
  </si>
  <si>
    <t>+49:08</t>
  </si>
  <si>
    <t>+20:16</t>
  </si>
  <si>
    <t>1:14:34</t>
  </si>
  <si>
    <t>5/21</t>
  </si>
  <si>
    <t>6/21</t>
  </si>
  <si>
    <t>1:15:18</t>
  </si>
  <si>
    <t>+21:00</t>
  </si>
  <si>
    <t>1:27:05</t>
  </si>
  <si>
    <t>9/21</t>
  </si>
  <si>
    <t>+32:47</t>
  </si>
  <si>
    <t>=LIGNE(A1)&amp;(".Circ.")</t>
  </si>
  <si>
    <t>20.Circ.</t>
  </si>
  <si>
    <t>20.Hor.</t>
  </si>
  <si>
    <t>20.Rés.</t>
  </si>
  <si>
    <t>20.Pl.</t>
  </si>
  <si>
    <t>20.écart</t>
  </si>
  <si>
    <t>31/36</t>
  </si>
  <si>
    <t>+14:13</t>
  </si>
  <si>
    <t>2/36</t>
  </si>
  <si>
    <t>+1:11</t>
  </si>
  <si>
    <t>19/36</t>
  </si>
  <si>
    <t>+7:46</t>
  </si>
  <si>
    <t>22/36</t>
  </si>
  <si>
    <t>+8:13</t>
  </si>
  <si>
    <t>14/36</t>
  </si>
  <si>
    <t>+6:21</t>
  </si>
  <si>
    <t>15/36</t>
  </si>
  <si>
    <t>+6:48</t>
  </si>
  <si>
    <t>30/36</t>
  </si>
  <si>
    <t>+13:35</t>
  </si>
  <si>
    <t>24/36</t>
  </si>
  <si>
    <t>10:59</t>
  </si>
  <si>
    <t>6/22</t>
  </si>
  <si>
    <t>+5:35</t>
  </si>
  <si>
    <t>20/22</t>
  </si>
  <si>
    <t>+22:19</t>
  </si>
  <si>
    <t>19/22</t>
  </si>
  <si>
    <t>+18:12</t>
  </si>
  <si>
    <t>12/22</t>
  </si>
  <si>
    <t>+7:58</t>
  </si>
  <si>
    <t>16/22</t>
  </si>
  <si>
    <t>+13:40</t>
  </si>
  <si>
    <t>21/22</t>
  </si>
  <si>
    <t>+25:49</t>
  </si>
  <si>
    <t>+2:05</t>
  </si>
  <si>
    <t>6/6</t>
  </si>
  <si>
    <t>+8:02</t>
  </si>
  <si>
    <t>NC</t>
  </si>
  <si>
    <t>+23:41</t>
  </si>
  <si>
    <t>01:01:23</t>
  </si>
  <si>
    <t>5/7</t>
  </si>
  <si>
    <t>7/7</t>
  </si>
  <si>
    <t>01:13:12</t>
  </si>
  <si>
    <t>+35:30</t>
  </si>
  <si>
    <t>1:33:12</t>
  </si>
  <si>
    <t>8/8</t>
  </si>
  <si>
    <t>+51:57</t>
  </si>
  <si>
    <t>+22:59</t>
  </si>
  <si>
    <t>10/18</t>
  </si>
  <si>
    <t>00:56:54</t>
  </si>
  <si>
    <t>00:52:45</t>
  </si>
  <si>
    <t>10/23</t>
  </si>
  <si>
    <t>00:53:07</t>
  </si>
  <si>
    <t>+19:58</t>
  </si>
  <si>
    <t>1:04:24</t>
  </si>
  <si>
    <t>14/23</t>
  </si>
  <si>
    <t>+27:28</t>
  </si>
  <si>
    <t>1:11:08</t>
  </si>
  <si>
    <t>18/23</t>
  </si>
  <si>
    <t>+34:12</t>
  </si>
  <si>
    <t>0:40:12</t>
  </si>
  <si>
    <t>+3:16</t>
  </si>
  <si>
    <t>1:05:31</t>
  </si>
  <si>
    <t>15/23</t>
  </si>
  <si>
    <t>2/6</t>
  </si>
  <si>
    <t>00:23:34</t>
  </si>
  <si>
    <t>+3:39</t>
  </si>
  <si>
    <t>+18:50</t>
  </si>
  <si>
    <t>00:29:58</t>
  </si>
  <si>
    <t>+10:03</t>
  </si>
  <si>
    <t>00:56:17</t>
  </si>
  <si>
    <t>+36:22</t>
  </si>
  <si>
    <t>l'Avallon Trail (89) 3/01</t>
  </si>
  <si>
    <t>10 km</t>
  </si>
  <si>
    <t>19 km</t>
  </si>
  <si>
    <t>+26:11</t>
  </si>
  <si>
    <t>+17:07</t>
  </si>
  <si>
    <t xml:space="preserve">10 km </t>
  </si>
  <si>
    <t>+7:35</t>
  </si>
  <si>
    <t>+28:41</t>
  </si>
  <si>
    <t>13/215(5)</t>
  </si>
  <si>
    <t>51/215(10)</t>
  </si>
  <si>
    <t>108/215(15)</t>
  </si>
  <si>
    <t>97/215(2)</t>
  </si>
  <si>
    <t>104/148(1)</t>
  </si>
  <si>
    <t>+56:23</t>
  </si>
  <si>
    <t>+1:35:13</t>
  </si>
  <si>
    <t>50/54</t>
  </si>
  <si>
    <t>47/54</t>
  </si>
  <si>
    <t>+57:08</t>
  </si>
  <si>
    <t>37/54</t>
  </si>
  <si>
    <t>32/54</t>
  </si>
  <si>
    <t>21/54</t>
  </si>
  <si>
    <t>+14:01</t>
  </si>
  <si>
    <t>+25:17</t>
  </si>
  <si>
    <t>19/79</t>
  </si>
  <si>
    <t>+16:19</t>
  </si>
  <si>
    <t>+33:56</t>
  </si>
  <si>
    <t>44/79</t>
  </si>
  <si>
    <t>+34:33</t>
  </si>
  <si>
    <t>46/79</t>
  </si>
  <si>
    <t>+43:56</t>
  </si>
  <si>
    <t>53/79</t>
  </si>
  <si>
    <t>56/79</t>
  </si>
  <si>
    <t>+49:47</t>
  </si>
  <si>
    <t>+1:09:53</t>
  </si>
  <si>
    <t>64/79</t>
  </si>
  <si>
    <t>16/30</t>
  </si>
  <si>
    <t>+31:01</t>
  </si>
  <si>
    <t>21/30</t>
  </si>
  <si>
    <t>+1:03:59</t>
  </si>
  <si>
    <t>18/30</t>
  </si>
  <si>
    <t>+40:38</t>
  </si>
  <si>
    <t>+55:38</t>
  </si>
  <si>
    <t>19/30</t>
  </si>
  <si>
    <t>+16:21</t>
  </si>
  <si>
    <t>+12:50</t>
  </si>
  <si>
    <t>+13:22</t>
  </si>
  <si>
    <t>+56:05</t>
  </si>
  <si>
    <t>Bleu</t>
  </si>
  <si>
    <t>la SAEPDOF Fontainebleau(77) 18/01</t>
  </si>
  <si>
    <t>LD Malzéville (54) 24/01</t>
  </si>
  <si>
    <t>3/12</t>
  </si>
  <si>
    <t>20/28</t>
  </si>
  <si>
    <t>+35:21</t>
  </si>
  <si>
    <t>CO-VTT LD Fontainebleau(77) 31/01</t>
  </si>
  <si>
    <t>2/3</t>
  </si>
  <si>
    <t>+32:38</t>
  </si>
  <si>
    <t>5/9</t>
  </si>
  <si>
    <t>+25:31</t>
  </si>
  <si>
    <t xml:space="preserve">Violet Court </t>
  </si>
  <si>
    <t>2/9</t>
  </si>
  <si>
    <t>+19:52</t>
  </si>
  <si>
    <t>1/18</t>
  </si>
  <si>
    <t>00:00:00</t>
  </si>
  <si>
    <t>2/18</t>
  </si>
  <si>
    <t>+18:57</t>
  </si>
  <si>
    <t>8/18</t>
  </si>
  <si>
    <t>9/18</t>
  </si>
  <si>
    <t>+38:17</t>
  </si>
  <si>
    <t>+41:04</t>
  </si>
  <si>
    <t>46:14</t>
  </si>
  <si>
    <t>CO-VTT MD Fontainebleau(77) 01/02</t>
  </si>
  <si>
    <t>MD Fontainebleau(77) 01/02</t>
  </si>
  <si>
    <t>MD départementale Montigny s/Loing(77) 08/02</t>
  </si>
  <si>
    <t>Chpt de Ligue MD Sully-la-Chapelle(45) 14/02</t>
  </si>
  <si>
    <t>Sprint St-Jean-de-Braye(45) 14/02</t>
  </si>
  <si>
    <t xml:space="preserve">POM 2026 Sprint #1 Praia de Mira, Portugal 13/02 </t>
  </si>
  <si>
    <t>POM 2026 MD #2 Seixo, Portugal 14/02</t>
  </si>
  <si>
    <t>POM 2026 LD #4 Seixo, Portugal 15/02</t>
  </si>
  <si>
    <t>POM 2026 MD #5 Seixo, Portugal 16/02</t>
  </si>
  <si>
    <t>POM 2026 Sprint nocturne #6 Mira, Portugal 16/02</t>
  </si>
  <si>
    <t>POM 2026 LD #7 Seixo, Portugal 17/02</t>
  </si>
  <si>
    <t>17ème Défi Chapelin co Score de nuit en éq. de 2 La Chapelle s/Oreuse(89) 28/02</t>
  </si>
  <si>
    <t>2-Circuit Jaune 4,770 km, 12 postes</t>
  </si>
  <si>
    <t>1 GASTINEAU Tiago (2012) BALISE 77 29:20</t>
  </si>
  <si>
    <t>2 LUCAS VIOU Jules (2012) BALISE 77 29:59</t>
  </si>
  <si>
    <t>3 DENIEL Morgan (2012) YCONE-Sens 30:04</t>
  </si>
  <si>
    <t>4 BRUANT Corentin (2012) BALISE 77 38:49</t>
  </si>
  <si>
    <t>5 BOUVIER Gabin (2012) YCONE-Sens 38:58</t>
  </si>
  <si>
    <t>3-Circuit Orange 6,420 km, 11 postes</t>
  </si>
  <si>
    <t>1 DUBOIS DARTHENAY Vincent (2012) AS SAMOIS 36:16</t>
  </si>
  <si>
    <t>1 POUSSET Albane (2011) AS SAMOIS 40:54</t>
  </si>
  <si>
    <t>2 LECONTE Sylvie (1960) BALISE 77 42:22</t>
  </si>
  <si>
    <t>2 VANNIER Bernard (1945) USM/CO 50:05</t>
  </si>
  <si>
    <t>3 LEFRANC Loris (2012) Non Licencies 55:37</t>
  </si>
  <si>
    <t>3 CHARDOT Ulrike (1964) GO78 55:59</t>
  </si>
  <si>
    <t>4 TESSIER Daniel (1948) USM/CO 1:08:02</t>
  </si>
  <si>
    <t>BOUCHERIE caroline (1964) BALISE 77</t>
  </si>
  <si>
    <t>CATEL Emmanuelle (2000) Non Licencies</t>
  </si>
  <si>
    <t>MATHELIER Christian (1952) AS SAMOIS</t>
  </si>
  <si>
    <t>LAVOLLAY Marc (1962) AS SAMOIS</t>
  </si>
  <si>
    <t>4-Circuit Violet Court 6,960 km, 12 postes</t>
  </si>
  <si>
    <t>1 PINCE Bertrand (1966) DSA 41:45</t>
  </si>
  <si>
    <t>2 AVVISATI Francesco (1982) RO'Paris 42:44</t>
  </si>
  <si>
    <t>3 BOUCHERIE Pascal (1962) BALISE 77 48:20</t>
  </si>
  <si>
    <t>4 BARBIER Patrick (1958) YCONE-Sens 50:56</t>
  </si>
  <si>
    <t>5 FISCHER Frederic (1961) RO'Paris 52:23</t>
  </si>
  <si>
    <t>6 BOUVIER Grégory (1985) YCONE-Sens 54:04</t>
  </si>
  <si>
    <t>1 LENOBLE COLLIN Sandrine (1970) YCONE-Sens 55:07</t>
  </si>
  <si>
    <t>2 GERARDIN Marie-Pierre (1978) ASCO ORLEANS1:23:46</t>
  </si>
  <si>
    <t>RORA Isabelle (1963) BALISE 77</t>
  </si>
  <si>
    <t>LIJOUR Lydie (1963) ANSA</t>
  </si>
  <si>
    <t>GUILLON Alain (1950) BALISE 77</t>
  </si>
  <si>
    <t>MECHINET David (1984) COPIDO</t>
  </si>
  <si>
    <t>LAURENT Nicolas (1973) BNCO</t>
  </si>
  <si>
    <t>BESSIERE Philip (1973) RO'Paris</t>
  </si>
  <si>
    <t>5-Circuit Violet Moyen 9,530 km, 18 postes</t>
  </si>
  <si>
    <t>1 AGOSTINI Emmanuel (1968) YCONE-Sens 46:54</t>
  </si>
  <si>
    <t>2 ROBBE Jean-Marc (1957) ANSA 49:05</t>
  </si>
  <si>
    <t>3 MONTAGARD Frédéric (1972) GO78 50:56</t>
  </si>
  <si>
    <t>4 COLLIN Pierre (1969) YCONE-Sens 55:09</t>
  </si>
  <si>
    <t>5 DENIEL Marc (1975) YCONE-Sens 58:47</t>
  </si>
  <si>
    <t>6 PIERRE Eric (1961) YCONE-Sens 59:21</t>
  </si>
  <si>
    <t>7 LEFRANC Damien (1983) Non Licencies 1:05:58</t>
  </si>
  <si>
    <t>8 WU Thierry (1971) COLE 1:08:08</t>
  </si>
  <si>
    <t>1 LEFRANC Severine (1983) Non Licencies 1:08:23</t>
  </si>
  <si>
    <t>9 CHARIAU Jean-Marc (1959) AS SAMOIS 1:08:30</t>
  </si>
  <si>
    <t>10 RORA Jose (1960) BALISE 77 1:09:17</t>
  </si>
  <si>
    <t>BLAQUIERE Blandine (1992) BALISE 77</t>
  </si>
  <si>
    <t>6-Circuit Violet Long 10,770 km, 22 postes</t>
  </si>
  <si>
    <t>1 LAURET Jocelin (2005) AS SAMOIS 41:28</t>
  </si>
  <si>
    <t>2 LAURET Jildas (2007) AS SAMOIS 44:25</t>
  </si>
  <si>
    <t>3 PINSARD Frédéric (1964) AS SAMOIS 54:26</t>
  </si>
  <si>
    <t>4 BERTHOMIEU Manuel (1990) GO78 54:55</t>
  </si>
  <si>
    <t>5 PIGACHE Eric (1962) OPA MONTIGNY 59:49</t>
  </si>
  <si>
    <t>1 TIRBOIS Madeleine (1980) ERCO 1:03:01</t>
  </si>
  <si>
    <t>2 GONNET Audrey (1987) GO78 1:06:05</t>
  </si>
  <si>
    <t>6 CLERTON Anthony (1996) RO'Paris 1:07:34</t>
  </si>
  <si>
    <t>7 MANCEL Stephane (1969) DSA 1:09:38</t>
  </si>
  <si>
    <t>8 POMART Armand (1998) AS IGN 1:12:13</t>
  </si>
  <si>
    <t>9 PROFICHET Vincent (1961) VIK'AZIM 1:12:52</t>
  </si>
  <si>
    <t>10 PIVERT Jean-Baptiste (1964) GO78 1:13:36</t>
  </si>
  <si>
    <t>11 ROCHE Corentin (2001) Poitiers CO 1:17:01</t>
  </si>
  <si>
    <t>12 MAINGUY Sylvain (1978) DSA 1:18:05</t>
  </si>
  <si>
    <t>3 TAISSON Sandrine (1970) GO78 1:37:39</t>
  </si>
  <si>
    <t>GATINEAU Paul (2009) AS SAMOIS PM</t>
  </si>
  <si>
    <t>TIRBOIS Miguel (1979) ERCO</t>
  </si>
  <si>
    <t>TOUSSAINT Stéphane (1970) BALISE 77</t>
  </si>
  <si>
    <t>LAHELLEC Yann (1968) ROC</t>
  </si>
  <si>
    <t>VERCAEMERE-LAHELLEC Céline (1968) ROC</t>
  </si>
  <si>
    <t>+00:44</t>
  </si>
  <si>
    <t>3/5</t>
  </si>
  <si>
    <t>+9:38</t>
  </si>
  <si>
    <t>+00:00</t>
  </si>
  <si>
    <t>+8:15</t>
  </si>
  <si>
    <t>+11:53</t>
  </si>
  <si>
    <t>5/5</t>
  </si>
  <si>
    <t>+12:21</t>
  </si>
  <si>
    <t>1/12</t>
  </si>
  <si>
    <t>4/12</t>
  </si>
  <si>
    <t>5/12</t>
  </si>
  <si>
    <t>6/14</t>
  </si>
  <si>
    <t>+12:19</t>
  </si>
  <si>
    <t>4/14</t>
  </si>
  <si>
    <t>+9:11</t>
  </si>
  <si>
    <t>7/14(1)</t>
  </si>
  <si>
    <t>5/14</t>
  </si>
  <si>
    <t>+26:49</t>
  </si>
  <si>
    <t>+9:34</t>
  </si>
  <si>
    <t>3/6</t>
  </si>
  <si>
    <t xml:space="preserve">Orange </t>
  </si>
  <si>
    <t>+49:13</t>
  </si>
  <si>
    <t>9/11</t>
  </si>
  <si>
    <t>Vert Dames</t>
  </si>
  <si>
    <t>2/10</t>
  </si>
  <si>
    <t>+1:40</t>
  </si>
  <si>
    <t>2/10(=)</t>
  </si>
  <si>
    <t>28/38</t>
  </si>
  <si>
    <t>+1:11:55</t>
  </si>
  <si>
    <t>26/60</t>
  </si>
  <si>
    <t>+30:33</t>
  </si>
  <si>
    <t>+37:08</t>
  </si>
  <si>
    <t>33/60</t>
  </si>
  <si>
    <t>38/60</t>
  </si>
  <si>
    <t>+43:06</t>
  </si>
  <si>
    <t>45/60</t>
  </si>
  <si>
    <t>+50:46</t>
  </si>
  <si>
    <t>48/60</t>
  </si>
  <si>
    <t>53:02</t>
  </si>
  <si>
    <t>1/3</t>
  </si>
  <si>
    <t>+13:34</t>
  </si>
  <si>
    <t>10/19</t>
  </si>
  <si>
    <t>+21:30</t>
  </si>
  <si>
    <t>+34:49</t>
  </si>
  <si>
    <t>11/15</t>
  </si>
  <si>
    <t>+44:31</t>
  </si>
  <si>
    <t>J</t>
  </si>
  <si>
    <t>4/4</t>
  </si>
  <si>
    <t>+37:15</t>
  </si>
  <si>
    <t>15/38</t>
  </si>
  <si>
    <t>+4:39</t>
  </si>
  <si>
    <t>A Orange</t>
  </si>
  <si>
    <t>+6:53</t>
  </si>
  <si>
    <t>19/38</t>
  </si>
  <si>
    <t>+10:07</t>
  </si>
  <si>
    <t>27/38</t>
  </si>
  <si>
    <t>34/38</t>
  </si>
  <si>
    <t>+15:57</t>
  </si>
  <si>
    <t>2/25</t>
  </si>
  <si>
    <t>+4:07</t>
  </si>
  <si>
    <t>+0:06</t>
  </si>
  <si>
    <t>16/25</t>
  </si>
  <si>
    <t>+13:23</t>
  </si>
  <si>
    <t>+20:17</t>
  </si>
  <si>
    <t>19/25</t>
  </si>
  <si>
    <t>D Jaune</t>
  </si>
  <si>
    <t>3/3</t>
  </si>
  <si>
    <t>M60</t>
  </si>
  <si>
    <t>39/70</t>
  </si>
  <si>
    <t>+8:41</t>
  </si>
  <si>
    <t>100/139</t>
  </si>
  <si>
    <t>+26:14</t>
  </si>
  <si>
    <t>50/138</t>
  </si>
  <si>
    <t>+21:21</t>
  </si>
  <si>
    <t>111/136</t>
  </si>
  <si>
    <t>+35:32</t>
  </si>
  <si>
    <t>32/73</t>
  </si>
  <si>
    <t>+7:48</t>
  </si>
  <si>
    <t>68/142</t>
  </si>
  <si>
    <t>+27:03</t>
  </si>
  <si>
    <t>M60 clt général</t>
  </si>
  <si>
    <t>69/142</t>
  </si>
  <si>
    <t>+1:46:35</t>
  </si>
  <si>
    <t>MD régionale Pannessières Monmorot(39) 08/03</t>
  </si>
  <si>
    <t>Nationale Nord-Est MD Antheuil(21) 21/03</t>
  </si>
  <si>
    <t>Nationale Nord-Est LD Antheuil(21) 22/03</t>
  </si>
  <si>
    <t>Chpt de Ligue BF Saint-Saulge(58) 29/03</t>
  </si>
  <si>
    <t>MD départementale Le Vaudoué(77) 29/03</t>
  </si>
  <si>
    <t>Chpt de Ligue MD-GE Fond-St-Martin Rombas(57) 08/03</t>
  </si>
  <si>
    <t>16/24</t>
  </si>
  <si>
    <t>+17:19</t>
  </si>
  <si>
    <t>+13:38</t>
  </si>
  <si>
    <t>5/8</t>
  </si>
  <si>
    <t>+31:15</t>
  </si>
  <si>
    <t>15/24</t>
  </si>
  <si>
    <t>+32:45</t>
  </si>
  <si>
    <t>41/55</t>
  </si>
  <si>
    <t>+27:48</t>
  </si>
  <si>
    <t>'+1:06:37</t>
  </si>
  <si>
    <t>21/33</t>
  </si>
  <si>
    <t>30/33</t>
  </si>
  <si>
    <t>+1:02:48</t>
  </si>
  <si>
    <t>11/13</t>
  </si>
  <si>
    <t>+21:10</t>
  </si>
  <si>
    <t>Open Jaune</t>
  </si>
  <si>
    <t>+14:15</t>
  </si>
  <si>
    <t>16/17</t>
  </si>
  <si>
    <t>23/32</t>
  </si>
  <si>
    <t>21/23</t>
  </si>
  <si>
    <t>7/17</t>
  </si>
  <si>
    <t>CNE relais Le Bessat(42) dimanche 25/10</t>
  </si>
  <si>
    <t>CNE Chpt de France de Nuit Le Bessat(42) lundi 26/10</t>
  </si>
  <si>
    <t>Violet Court H.</t>
  </si>
  <si>
    <t>Violet Court D.</t>
  </si>
  <si>
    <t>Sprint Orange H.</t>
  </si>
  <si>
    <t>Sprint Orange D.</t>
  </si>
  <si>
    <t>G2 CF</t>
  </si>
  <si>
    <t>INSCRIPTIONS COMPLEMENTAIRES</t>
  </si>
  <si>
    <t xml:space="preserve">INSCRIPTIONS COMPLEMENTAIRES </t>
  </si>
  <si>
    <t>Matrus général</t>
  </si>
  <si>
    <t>+14:51</t>
  </si>
  <si>
    <t>+42:18</t>
  </si>
  <si>
    <t>Matrus 518-1</t>
  </si>
  <si>
    <t>Matrus 518-2</t>
  </si>
  <si>
    <t>Matrus 518-3</t>
  </si>
  <si>
    <r>
      <rPr>
        <strike/>
        <sz val="11"/>
        <color theme="1"/>
        <rFont val="Calibri"/>
        <family val="2"/>
        <scheme val="minor"/>
      </rPr>
      <t>Sprint Open &amp; CF Saint-Etienne</t>
    </r>
    <r>
      <rPr>
        <sz val="11"/>
        <color theme="1"/>
        <rFont val="Calibri"/>
        <family val="2"/>
        <scheme val="minor"/>
      </rPr>
      <t xml:space="preserve"> ==&gt; Le Bessat(42) 24/10</t>
    </r>
  </si>
  <si>
    <t>Sprint Open &amp; CF Saint-Etienne ==&gt; Le Bessat(42) 24/10</t>
  </si>
  <si>
    <t>43/69</t>
  </si>
  <si>
    <t>21/67</t>
  </si>
  <si>
    <t>46/63</t>
  </si>
  <si>
    <t>+23:11</t>
  </si>
  <si>
    <t>24/74</t>
  </si>
  <si>
    <t>D50-55</t>
  </si>
  <si>
    <t>H60-65</t>
  </si>
  <si>
    <t>D18-20</t>
  </si>
  <si>
    <t>D60-65</t>
  </si>
  <si>
    <t>+1:16:37</t>
  </si>
  <si>
    <t>+30:14</t>
  </si>
  <si>
    <t>+56:32</t>
  </si>
  <si>
    <t>+33:06</t>
  </si>
  <si>
    <t>+7:42</t>
  </si>
  <si>
    <t>20/25</t>
  </si>
  <si>
    <t>+45:45</t>
  </si>
  <si>
    <t>+45:01</t>
  </si>
  <si>
    <t xml:space="preserve">Violet C </t>
  </si>
  <si>
    <t xml:space="preserve">Violet TC </t>
  </si>
  <si>
    <t>27/37</t>
  </si>
  <si>
    <t>+1:11:17</t>
  </si>
  <si>
    <t>H14(5)</t>
  </si>
  <si>
    <t>4/5</t>
  </si>
  <si>
    <t>H20(4)</t>
  </si>
  <si>
    <t>+26:52</t>
  </si>
  <si>
    <t>+13:06</t>
  </si>
  <si>
    <t>H50(8)</t>
  </si>
  <si>
    <t>H55(6)</t>
  </si>
  <si>
    <t>+7:05</t>
  </si>
  <si>
    <t>H65(9)</t>
  </si>
  <si>
    <t>D55(4)</t>
  </si>
  <si>
    <t>D20(2)</t>
  </si>
  <si>
    <t>1/2</t>
  </si>
  <si>
    <t>O'Korrigans #1 MD Huelgoat(29) 04/04</t>
  </si>
  <si>
    <t>O'Korrigans #4 MD Berrien(29) 06/04</t>
  </si>
  <si>
    <t>WE O'Colettes régionale MD Louroux de Bouble(03) 11/04</t>
  </si>
  <si>
    <t>WE O'Colettes régionale LD Coutansouze(03) 12/04</t>
  </si>
  <si>
    <t>Sprint #1 Paris 17ème(75) 12/04</t>
  </si>
  <si>
    <t>Sprint #2 Paris 17ème(75) 12/04</t>
  </si>
  <si>
    <t>Vulcan'O régionale MD1 Chatel-Guyon(63) 18/04</t>
  </si>
  <si>
    <t>Vulcan'O régionale MD2 Moulet-Mercenat(63) 19/04</t>
  </si>
  <si>
    <t>Régionale MD Cestres(21) 26/04</t>
  </si>
  <si>
    <t>C(26)</t>
  </si>
  <si>
    <t>C'(23)</t>
  </si>
  <si>
    <t>+56:02</t>
  </si>
  <si>
    <t>C(25)</t>
  </si>
  <si>
    <t>17/25</t>
  </si>
  <si>
    <t>+24:15</t>
  </si>
  <si>
    <t>C'(18)</t>
  </si>
  <si>
    <t>+52:48</t>
  </si>
  <si>
    <t>81/104</t>
  </si>
  <si>
    <t>+23:09</t>
  </si>
  <si>
    <t>62/120</t>
  </si>
  <si>
    <t>+11:34</t>
  </si>
  <si>
    <t>0:38:59</t>
  </si>
  <si>
    <t>+19:59</t>
  </si>
  <si>
    <t>+12:45</t>
  </si>
  <si>
    <t>0:31:45</t>
  </si>
  <si>
    <t>Abs</t>
  </si>
  <si>
    <t>abs</t>
  </si>
  <si>
    <t>54/70</t>
  </si>
  <si>
    <t>42/70</t>
  </si>
  <si>
    <t>0:43:40</t>
  </si>
  <si>
    <t>+20:35</t>
  </si>
  <si>
    <t>69/105</t>
  </si>
  <si>
    <t>66/70</t>
  </si>
  <si>
    <t>0:56:30</t>
  </si>
  <si>
    <t>+36:19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</si>
</sst>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quotePrefix="1"/>
    <xf numFmtId="21" fontId="0" fillId="0" borderId="0" xfId="0" applyNumberFormat="1"/>
    <xf numFmtId="20" fontId="0" fillId="0" borderId="0" xfId="0" applyNumberFormat="1"/>
    <xf numFmtId="16" fontId="0" fillId="0" borderId="0" xfId="0" applyNumberFormat="1"/>
    <xf numFmtId="46" fontId="0" fillId="0" borderId="0" xfId="0" applyNumberFormat="1"/>
    <xf numFmtId="17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20" fontId="0" fillId="0" borderId="0" xfId="0" quotePrefix="1" applyNumberFormat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 indent="1"/>
    </xf>
    <xf numFmtId="0" fontId="3" fillId="3" borderId="1" xfId="0" applyFont="1" applyFill="1" applyBorder="1" applyAlignment="1">
      <alignment horizontal="right" indent="1"/>
    </xf>
    <xf numFmtId="0" fontId="3" fillId="0" borderId="1" xfId="0" applyFont="1" applyBorder="1" applyAlignment="1">
      <alignment horizontal="right"/>
    </xf>
    <xf numFmtId="0" fontId="3" fillId="0" borderId="1" xfId="0" applyFont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indent="1"/>
    </xf>
    <xf numFmtId="0" fontId="3" fillId="0" borderId="1" xfId="0" applyFont="1" applyBorder="1" applyAlignment="1">
      <alignment horizontal="right" indent="1"/>
    </xf>
    <xf numFmtId="46" fontId="0" fillId="3" borderId="1" xfId="0" applyNumberFormat="1" applyFont="1" applyFill="1" applyBorder="1"/>
    <xf numFmtId="46" fontId="0" fillId="0" borderId="1" xfId="0" applyNumberFormat="1" applyFont="1" applyBorder="1"/>
    <xf numFmtId="0" fontId="4" fillId="2" borderId="0" xfId="0" applyFont="1" applyFill="1" applyBorder="1"/>
    <xf numFmtId="20" fontId="4" fillId="2" borderId="0" xfId="0" applyNumberFormat="1" applyFont="1" applyFill="1" applyBorder="1"/>
    <xf numFmtId="46" fontId="4" fillId="2" borderId="0" xfId="0" applyNumberFormat="1" applyFont="1" applyFill="1" applyBorder="1"/>
    <xf numFmtId="49" fontId="4" fillId="2" borderId="0" xfId="0" applyNumberFormat="1" applyFont="1" applyFill="1" applyBorder="1"/>
    <xf numFmtId="0" fontId="0" fillId="0" borderId="0" xfId="0" applyFont="1"/>
    <xf numFmtId="0" fontId="5" fillId="0" borderId="0" xfId="0" applyFont="1"/>
    <xf numFmtId="20" fontId="3" fillId="3" borderId="1" xfId="0" applyNumberFormat="1" applyFont="1" applyFill="1" applyBorder="1"/>
    <xf numFmtId="46" fontId="3" fillId="3" borderId="1" xfId="0" applyNumberFormat="1" applyFont="1" applyFill="1" applyBorder="1" applyAlignment="1">
      <alignment horizontal="left"/>
    </xf>
    <xf numFmtId="49" fontId="3" fillId="3" borderId="1" xfId="0" applyNumberFormat="1" applyFont="1" applyFill="1" applyBorder="1"/>
    <xf numFmtId="46" fontId="3" fillId="3" borderId="1" xfId="0" applyNumberFormat="1" applyFont="1" applyFill="1" applyBorder="1"/>
    <xf numFmtId="46" fontId="3" fillId="3" borderId="1" xfId="0" applyNumberFormat="1" applyFont="1" applyFill="1" applyBorder="1" applyAlignment="1">
      <alignment horizontal="right" indent="1"/>
    </xf>
    <xf numFmtId="49" fontId="3" fillId="3" borderId="1" xfId="0" applyNumberFormat="1" applyFont="1" applyFill="1" applyBorder="1" applyAlignment="1">
      <alignment horizontal="right"/>
    </xf>
    <xf numFmtId="20" fontId="3" fillId="3" borderId="1" xfId="0" applyNumberFormat="1" applyFont="1" applyFill="1" applyBorder="1" applyAlignment="1">
      <alignment horizontal="right"/>
    </xf>
    <xf numFmtId="16" fontId="0" fillId="0" borderId="0" xfId="0" quotePrefix="1" applyNumberFormat="1"/>
    <xf numFmtId="46" fontId="0" fillId="0" borderId="0" xfId="0" quotePrefix="1" applyNumberFormat="1"/>
    <xf numFmtId="21" fontId="0" fillId="0" borderId="0" xfId="0" quotePrefix="1" applyNumberFormat="1"/>
    <xf numFmtId="17" fontId="0" fillId="0" borderId="0" xfId="0" quotePrefix="1" applyNumberFormat="1"/>
    <xf numFmtId="20" fontId="0" fillId="4" borderId="0" xfId="0" applyNumberFormat="1" applyFill="1"/>
    <xf numFmtId="46" fontId="0" fillId="4" borderId="0" xfId="0" applyNumberFormat="1" applyFill="1"/>
    <xf numFmtId="0" fontId="0" fillId="4" borderId="0" xfId="0" applyFill="1"/>
    <xf numFmtId="49" fontId="0" fillId="4" borderId="0" xfId="0" applyNumberFormat="1" applyFill="1"/>
    <xf numFmtId="0" fontId="0" fillId="5" borderId="0" xfId="0" applyFill="1"/>
    <xf numFmtId="20" fontId="0" fillId="5" borderId="0" xfId="0" applyNumberFormat="1" applyFill="1"/>
    <xf numFmtId="46" fontId="0" fillId="5" borderId="0" xfId="0" applyNumberFormat="1" applyFill="1"/>
    <xf numFmtId="49" fontId="0" fillId="5" borderId="0" xfId="0" applyNumberFormat="1" applyFill="1"/>
    <xf numFmtId="0" fontId="0" fillId="6" borderId="0" xfId="0" applyFill="1"/>
    <xf numFmtId="20" fontId="0" fillId="6" borderId="0" xfId="0" applyNumberFormat="1" applyFill="1"/>
    <xf numFmtId="46" fontId="0" fillId="6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0" fontId="0" fillId="7" borderId="0" xfId="0" applyFill="1"/>
    <xf numFmtId="20" fontId="0" fillId="7" borderId="0" xfId="0" applyNumberFormat="1" applyFill="1"/>
    <xf numFmtId="46" fontId="0" fillId="7" borderId="0" xfId="0" applyNumberFormat="1" applyFill="1"/>
    <xf numFmtId="0" fontId="0" fillId="8" borderId="0" xfId="0" applyFill="1"/>
    <xf numFmtId="20" fontId="0" fillId="8" borderId="0" xfId="0" applyNumberFormat="1" applyFill="1"/>
    <xf numFmtId="46" fontId="0" fillId="8" borderId="0" xfId="0" applyNumberFormat="1" applyFill="1"/>
    <xf numFmtId="49" fontId="0" fillId="8" borderId="0" xfId="0" applyNumberFormat="1" applyFill="1"/>
    <xf numFmtId="0" fontId="0" fillId="9" borderId="0" xfId="0" applyFill="1"/>
    <xf numFmtId="20" fontId="0" fillId="9" borderId="0" xfId="0" applyNumberFormat="1" applyFill="1"/>
    <xf numFmtId="46" fontId="0" fillId="9" borderId="0" xfId="0" applyNumberFormat="1" applyFill="1"/>
    <xf numFmtId="49" fontId="0" fillId="9" borderId="0" xfId="0" applyNumberFormat="1" applyFill="1"/>
    <xf numFmtId="0" fontId="0" fillId="10" borderId="0" xfId="0" applyFill="1"/>
    <xf numFmtId="20" fontId="0" fillId="5" borderId="0" xfId="0" quotePrefix="1" applyNumberFormat="1" applyFill="1"/>
    <xf numFmtId="20" fontId="0" fillId="6" borderId="0" xfId="0" quotePrefix="1" applyNumberFormat="1" applyFill="1"/>
    <xf numFmtId="0" fontId="0" fillId="8" borderId="0" xfId="0" quotePrefix="1" applyFill="1"/>
    <xf numFmtId="21" fontId="0" fillId="8" borderId="0" xfId="0" quotePrefix="1" applyNumberFormat="1" applyFill="1"/>
    <xf numFmtId="0" fontId="0" fillId="5" borderId="0" xfId="0" quotePrefix="1" applyFill="1"/>
    <xf numFmtId="46" fontId="0" fillId="5" borderId="0" xfId="0" quotePrefix="1" applyNumberFormat="1" applyFill="1"/>
    <xf numFmtId="49" fontId="0" fillId="5" borderId="0" xfId="0" quotePrefix="1" applyNumberFormat="1" applyFill="1"/>
    <xf numFmtId="46" fontId="0" fillId="6" borderId="0" xfId="0" quotePrefix="1" applyNumberFormat="1" applyFill="1"/>
    <xf numFmtId="49" fontId="0" fillId="6" borderId="0" xfId="0" quotePrefix="1" applyNumberFormat="1" applyFill="1"/>
    <xf numFmtId="0" fontId="0" fillId="6" borderId="0" xfId="0" quotePrefix="1" applyFill="1"/>
    <xf numFmtId="46" fontId="0" fillId="4" borderId="0" xfId="0" quotePrefix="1" applyNumberFormat="1" applyFill="1"/>
    <xf numFmtId="0" fontId="0" fillId="4" borderId="0" xfId="0" quotePrefix="1" applyFill="1"/>
    <xf numFmtId="49" fontId="0" fillId="4" borderId="0" xfId="0" quotePrefix="1" applyNumberFormat="1" applyFill="1"/>
    <xf numFmtId="0" fontId="0" fillId="11" borderId="0" xfId="0" applyFill="1"/>
    <xf numFmtId="20" fontId="0" fillId="11" borderId="0" xfId="0" applyNumberFormat="1" applyFill="1"/>
    <xf numFmtId="46" fontId="0" fillId="11" borderId="0" xfId="0" applyNumberFormat="1" applyFill="1"/>
    <xf numFmtId="49" fontId="0" fillId="11" borderId="0" xfId="0" applyNumberFormat="1" applyFill="1"/>
    <xf numFmtId="0" fontId="0" fillId="11" borderId="0" xfId="0" quotePrefix="1" applyFill="1"/>
    <xf numFmtId="49" fontId="0" fillId="11" borderId="0" xfId="0" quotePrefix="1" applyNumberFormat="1" applyFill="1"/>
    <xf numFmtId="46" fontId="0" fillId="11" borderId="0" xfId="0" quotePrefix="1" applyNumberFormat="1" applyFill="1"/>
    <xf numFmtId="16" fontId="0" fillId="11" borderId="0" xfId="0" quotePrefix="1" applyNumberFormat="1" applyFill="1"/>
    <xf numFmtId="46" fontId="0" fillId="8" borderId="0" xfId="0" quotePrefix="1" applyNumberFormat="1" applyFill="1"/>
    <xf numFmtId="49" fontId="0" fillId="8" borderId="0" xfId="0" quotePrefix="1" applyNumberFormat="1" applyFill="1"/>
    <xf numFmtId="20" fontId="0" fillId="10" borderId="0" xfId="0" applyNumberFormat="1" applyFill="1"/>
    <xf numFmtId="46" fontId="0" fillId="10" borderId="0" xfId="0" applyNumberFormat="1" applyFill="1"/>
    <xf numFmtId="49" fontId="0" fillId="10" borderId="0" xfId="0" applyNumberFormat="1" applyFill="1"/>
    <xf numFmtId="46" fontId="0" fillId="10" borderId="0" xfId="0" quotePrefix="1" applyNumberFormat="1" applyFill="1"/>
    <xf numFmtId="16" fontId="0" fillId="10" borderId="0" xfId="0" quotePrefix="1" applyNumberFormat="1" applyFill="1"/>
    <xf numFmtId="49" fontId="0" fillId="10" borderId="0" xfId="0" quotePrefix="1" applyNumberFormat="1" applyFill="1"/>
    <xf numFmtId="21" fontId="0" fillId="10" borderId="0" xfId="0" quotePrefix="1" applyNumberFormat="1" applyFill="1"/>
    <xf numFmtId="0" fontId="0" fillId="12" borderId="0" xfId="0" applyFill="1"/>
    <xf numFmtId="49" fontId="0" fillId="12" borderId="0" xfId="0" applyNumberFormat="1" applyFill="1"/>
    <xf numFmtId="0" fontId="0" fillId="12" borderId="0" xfId="0" quotePrefix="1" applyFill="1"/>
    <xf numFmtId="49" fontId="0" fillId="12" borderId="0" xfId="0" quotePrefix="1" applyNumberFormat="1" applyFill="1"/>
    <xf numFmtId="17" fontId="0" fillId="12" borderId="0" xfId="0" quotePrefix="1" applyNumberFormat="1" applyFill="1"/>
    <xf numFmtId="49" fontId="0" fillId="9" borderId="0" xfId="0" quotePrefix="1" applyNumberFormat="1" applyFill="1"/>
    <xf numFmtId="46" fontId="0" fillId="9" borderId="0" xfId="0" quotePrefix="1" applyNumberFormat="1" applyFill="1"/>
    <xf numFmtId="0" fontId="0" fillId="9" borderId="0" xfId="0" quotePrefix="1" applyFill="1"/>
    <xf numFmtId="16" fontId="0" fillId="9" borderId="0" xfId="0" quotePrefix="1" applyNumberFormat="1" applyFill="1"/>
    <xf numFmtId="17" fontId="0" fillId="9" borderId="0" xfId="0" applyNumberFormat="1" applyFill="1"/>
    <xf numFmtId="0" fontId="0" fillId="13" borderId="0" xfId="0" applyFill="1"/>
    <xf numFmtId="20" fontId="0" fillId="13" borderId="0" xfId="0" applyNumberFormat="1" applyFill="1"/>
    <xf numFmtId="46" fontId="0" fillId="13" borderId="0" xfId="0" applyNumberFormat="1" applyFill="1"/>
    <xf numFmtId="49" fontId="0" fillId="13" borderId="0" xfId="0" applyNumberFormat="1" applyFill="1"/>
    <xf numFmtId="46" fontId="0" fillId="13" borderId="0" xfId="0" quotePrefix="1" applyNumberFormat="1" applyFill="1"/>
    <xf numFmtId="49" fontId="0" fillId="13" borderId="0" xfId="0" quotePrefix="1" applyNumberFormat="1" applyFill="1"/>
    <xf numFmtId="0" fontId="0" fillId="14" borderId="0" xfId="0" applyFill="1"/>
    <xf numFmtId="20" fontId="0" fillId="14" borderId="0" xfId="0" applyNumberFormat="1" applyFill="1"/>
    <xf numFmtId="46" fontId="0" fillId="14" borderId="0" xfId="0" applyNumberFormat="1" applyFill="1"/>
    <xf numFmtId="49" fontId="0" fillId="14" borderId="0" xfId="0" applyNumberFormat="1" applyFill="1"/>
    <xf numFmtId="0" fontId="0" fillId="14" borderId="0" xfId="0" quotePrefix="1" applyFill="1"/>
    <xf numFmtId="16" fontId="0" fillId="14" borderId="0" xfId="0" applyNumberFormat="1" applyFill="1"/>
    <xf numFmtId="17" fontId="0" fillId="14" borderId="0" xfId="0" applyNumberFormat="1" applyFill="1"/>
    <xf numFmtId="46" fontId="0" fillId="14" borderId="0" xfId="0" quotePrefix="1" applyNumberFormat="1" applyFill="1"/>
    <xf numFmtId="17" fontId="0" fillId="14" borderId="0" xfId="0" quotePrefix="1" applyNumberFormat="1" applyFill="1"/>
    <xf numFmtId="49" fontId="0" fillId="14" borderId="0" xfId="0" quotePrefix="1" applyNumberFormat="1" applyFill="1"/>
    <xf numFmtId="0" fontId="0" fillId="15" borderId="0" xfId="0" applyFill="1"/>
    <xf numFmtId="20" fontId="0" fillId="15" borderId="0" xfId="0" applyNumberFormat="1" applyFill="1"/>
    <xf numFmtId="46" fontId="0" fillId="15" borderId="0" xfId="0" applyNumberFormat="1" applyFill="1"/>
    <xf numFmtId="49" fontId="0" fillId="15" borderId="0" xfId="0" applyNumberFormat="1" applyFill="1"/>
    <xf numFmtId="20" fontId="0" fillId="12" borderId="0" xfId="0" applyNumberFormat="1" applyFill="1"/>
    <xf numFmtId="46" fontId="0" fillId="12" borderId="0" xfId="0" applyNumberFormat="1" applyFill="1"/>
    <xf numFmtId="0" fontId="1" fillId="0" borderId="0" xfId="0" applyFont="1"/>
    <xf numFmtId="0" fontId="1" fillId="0" borderId="0" xfId="0" quotePrefix="1" applyFont="1"/>
    <xf numFmtId="0" fontId="6" fillId="0" borderId="0" xfId="0" applyFont="1"/>
    <xf numFmtId="0" fontId="0" fillId="9" borderId="0" xfId="0" applyNumberFormat="1" applyFill="1"/>
    <xf numFmtId="0" fontId="0" fillId="16" borderId="0" xfId="0" quotePrefix="1" applyFill="1"/>
    <xf numFmtId="49" fontId="0" fillId="7" borderId="0" xfId="0" quotePrefix="1" applyNumberFormat="1" applyFill="1"/>
    <xf numFmtId="21" fontId="0" fillId="9" borderId="0" xfId="0" quotePrefix="1" applyNumberFormat="1" applyFill="1"/>
    <xf numFmtId="21" fontId="0" fillId="9" borderId="0" xfId="0" applyNumberFormat="1" applyFill="1"/>
    <xf numFmtId="164" fontId="0" fillId="0" borderId="0" xfId="0" applyNumberFormat="1" applyAlignment="1">
      <alignment horizontal="left"/>
    </xf>
    <xf numFmtId="0" fontId="0" fillId="0" borderId="0" xfId="0" applyFill="1"/>
    <xf numFmtId="0" fontId="0" fillId="0" borderId="0" xfId="0" applyNumberFormat="1" applyFill="1"/>
    <xf numFmtId="0" fontId="0" fillId="17" borderId="0" xfId="0" applyNumberFormat="1" applyFill="1"/>
    <xf numFmtId="18" fontId="0" fillId="0" borderId="0" xfId="0" applyNumberFormat="1"/>
    <xf numFmtId="21" fontId="0" fillId="0" borderId="0" xfId="0" applyNumberFormat="1" applyFill="1"/>
    <xf numFmtId="0" fontId="0" fillId="17" borderId="0" xfId="0" quotePrefix="1" applyNumberFormat="1" applyFill="1"/>
    <xf numFmtId="0" fontId="1" fillId="0" borderId="0" xfId="0" applyFont="1" applyFill="1"/>
    <xf numFmtId="0" fontId="1" fillId="0" borderId="0" xfId="0" quotePrefix="1" applyFont="1" applyFill="1"/>
    <xf numFmtId="0" fontId="6" fillId="0" borderId="0" xfId="0" applyFont="1" applyFill="1"/>
    <xf numFmtId="20" fontId="0" fillId="10" borderId="0" xfId="0" quotePrefix="1" applyNumberFormat="1" applyFill="1"/>
    <xf numFmtId="0" fontId="0" fillId="10" borderId="0" xfId="0" quotePrefix="1" applyFill="1"/>
    <xf numFmtId="20" fontId="0" fillId="7" borderId="0" xfId="0" quotePrefix="1" applyNumberFormat="1" applyFill="1"/>
    <xf numFmtId="46" fontId="0" fillId="7" borderId="0" xfId="0" quotePrefix="1" applyNumberFormat="1" applyFill="1"/>
    <xf numFmtId="0" fontId="0" fillId="7" borderId="0" xfId="0" quotePrefix="1" applyFill="1"/>
    <xf numFmtId="21" fontId="0" fillId="14" borderId="0" xfId="0" quotePrefix="1" applyNumberFormat="1" applyFill="1"/>
    <xf numFmtId="21" fontId="0" fillId="4" borderId="0" xfId="0" quotePrefix="1" applyNumberFormat="1" applyFill="1"/>
    <xf numFmtId="21" fontId="0" fillId="4" borderId="0" xfId="0" applyNumberFormat="1" applyFill="1"/>
    <xf numFmtId="46" fontId="0" fillId="12" borderId="0" xfId="0" quotePrefix="1" applyNumberFormat="1" applyFill="1"/>
    <xf numFmtId="16" fontId="0" fillId="12" borderId="0" xfId="0" quotePrefix="1" applyNumberFormat="1" applyFill="1"/>
    <xf numFmtId="16" fontId="0" fillId="4" borderId="0" xfId="0" quotePrefix="1" applyNumberFormat="1" applyFill="1"/>
    <xf numFmtId="17" fontId="0" fillId="4" borderId="0" xfId="0" quotePrefix="1" applyNumberFormat="1" applyFill="1"/>
    <xf numFmtId="16" fontId="0" fillId="8" borderId="0" xfId="0" quotePrefix="1" applyNumberFormat="1" applyFill="1"/>
    <xf numFmtId="17" fontId="0" fillId="8" borderId="0" xfId="0" applyNumberFormat="1" applyFill="1"/>
    <xf numFmtId="0" fontId="0" fillId="18" borderId="0" xfId="0" applyFill="1"/>
    <xf numFmtId="20" fontId="0" fillId="18" borderId="0" xfId="0" applyNumberFormat="1" applyFill="1"/>
    <xf numFmtId="46" fontId="0" fillId="18" borderId="0" xfId="0" applyNumberFormat="1" applyFill="1"/>
    <xf numFmtId="49" fontId="0" fillId="18" borderId="0" xfId="0" applyNumberFormat="1" applyFill="1"/>
    <xf numFmtId="46" fontId="0" fillId="18" borderId="0" xfId="0" quotePrefix="1" applyNumberFormat="1" applyFill="1"/>
    <xf numFmtId="49" fontId="0" fillId="18" borderId="0" xfId="0" quotePrefix="1" applyNumberFormat="1" applyFill="1"/>
    <xf numFmtId="16" fontId="0" fillId="10" borderId="0" xfId="0" applyNumberFormat="1" applyFill="1"/>
    <xf numFmtId="17" fontId="0" fillId="10" borderId="0" xfId="0" applyNumberFormat="1" applyFill="1"/>
    <xf numFmtId="17" fontId="0" fillId="10" borderId="0" xfId="0" quotePrefix="1" applyNumberFormat="1" applyFill="1"/>
    <xf numFmtId="0" fontId="0" fillId="19" borderId="0" xfId="0" applyFill="1"/>
    <xf numFmtId="20" fontId="0" fillId="19" borderId="0" xfId="0" applyNumberFormat="1" applyFill="1"/>
    <xf numFmtId="46" fontId="0" fillId="19" borderId="0" xfId="0" applyNumberFormat="1" applyFill="1"/>
    <xf numFmtId="49" fontId="0" fillId="19" borderId="0" xfId="0" applyNumberFormat="1" applyFill="1"/>
    <xf numFmtId="0" fontId="0" fillId="20" borderId="0" xfId="0" applyFill="1"/>
    <xf numFmtId="20" fontId="0" fillId="20" borderId="0" xfId="0" applyNumberFormat="1" applyFill="1"/>
    <xf numFmtId="46" fontId="0" fillId="20" borderId="0" xfId="0" applyNumberFormat="1" applyFill="1"/>
    <xf numFmtId="49" fontId="0" fillId="20" borderId="0" xfId="0" applyNumberFormat="1" applyFill="1"/>
    <xf numFmtId="0" fontId="0" fillId="21" borderId="0" xfId="0" applyFill="1"/>
    <xf numFmtId="20" fontId="0" fillId="4" borderId="0" xfId="0" quotePrefix="1" applyNumberFormat="1" applyFill="1"/>
    <xf numFmtId="20" fontId="0" fillId="12" borderId="0" xfId="0" quotePrefix="1" applyNumberFormat="1" applyFill="1"/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5" formatCode="hh:mm"/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320040</xdr:colOff>
          <xdr:row>123</xdr:row>
          <xdr:rowOff>53340</xdr:rowOff>
        </xdr:to>
        <xdr:sp macro="" textlink="">
          <xdr:nvSpPr>
            <xdr:cNvPr id="8193" name="CboautoComplet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320040</xdr:colOff>
          <xdr:row>122</xdr:row>
          <xdr:rowOff>53340</xdr:rowOff>
        </xdr:to>
        <xdr:sp macro="" textlink="">
          <xdr:nvSpPr>
            <xdr:cNvPr id="2049" name="Cboauto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320040</xdr:colOff>
          <xdr:row>49</xdr:row>
          <xdr:rowOff>53340</xdr:rowOff>
        </xdr:to>
        <xdr:sp macro="" textlink="">
          <xdr:nvSpPr>
            <xdr:cNvPr id="7169" name="CboautoComplet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6A175C-BBEA-472E-B39B-15E83FC16A85}" name="Tab_base" displayName="Tab_base" ref="A1:AE94" totalsRowShown="0" headerRowDxfId="33" dataDxfId="32" tableBorderDxfId="31">
  <autoFilter ref="A1:AE94" xr:uid="{426A175C-BBEA-472E-B39B-15E83FC16A85}"/>
  <tableColumns count="31">
    <tableColumn id="1" xr3:uid="{85B3B5CA-C237-4833-821C-9BD27042A7AD}" name="N°" dataDxfId="30"/>
    <tableColumn id="2" xr3:uid="{A869470D-4254-464D-B289-09FE647C7DD8}" name="Nbre" dataDxfId="29"/>
    <tableColumn id="3" xr3:uid="{9AE0F530-55E4-435B-BB6F-D20FA863D79A}" name="N° club" dataDxfId="28"/>
    <tableColumn id="4" xr3:uid="{8195C881-010D-4F82-8CB6-5BFB1B4AA78C}" name="Nom" dataDxfId="27"/>
    <tableColumn id="5" xr3:uid="{298BD28F-E9E2-451B-BB72-AD15D1FCE553}" name="Ville" dataDxfId="26"/>
    <tableColumn id="6" xr3:uid="{1157D986-0D67-45C8-9DF3-53DDE2D4FF48}" name="Li" dataDxfId="25"/>
    <tableColumn id="7" xr3:uid="{E917E423-D3E0-4E2F-B402-917373639301}" name="Licence" dataDxfId="24"/>
    <tableColumn id="8" xr3:uid="{BDBD9CDB-ED14-4CDE-BA48-9840462D4B2C}" name="Puce" dataDxfId="23"/>
    <tableColumn id="9" xr3:uid="{70DD94AE-5A79-4626-80C4-638BD34AC556}" name="Nom2" dataDxfId="22"/>
    <tableColumn id="10" xr3:uid="{9EC80070-BC60-4AD9-A5E6-21912F019B9A}" name="Prénom" dataDxfId="21"/>
    <tableColumn id="11" xr3:uid="{51A59989-EFB9-436F-B399-7E0B3E37A744}" name="Né" dataDxfId="20"/>
    <tableColumn id="12" xr3:uid="{466D0D07-058F-4D80-870B-BD33113A0CEB}" name="S" dataDxfId="19"/>
    <tableColumn id="13" xr3:uid="{0631B679-EA75-42BD-9DF9-94C1E94F5F80}" name="N° cat." dataDxfId="18"/>
    <tableColumn id="14" xr3:uid="{79F18190-1334-4804-A664-2B90D0D33264}" name="Court" dataDxfId="17"/>
    <tableColumn id="15" xr3:uid="{7119F977-6DAE-4EB4-A03C-B1074C7B7671}" name="clFOR" dataDxfId="16"/>
    <tableColumn id="16" xr3:uid="{DBF6D6D7-BBDF-4D5E-82C9-C6E938E9F380}" name="ptFOR" dataDxfId="15"/>
    <tableColumn id="17" xr3:uid="{AF08247D-F3B6-410E-99BF-B776C120632D}" name="clSPR" dataDxfId="14"/>
    <tableColumn id="18" xr3:uid="{F5FC9871-73B6-446D-B6AB-E95FCDB3902D}" name="ptSPR" dataDxfId="13"/>
    <tableColumn id="19" xr3:uid="{1A86FBDB-46B7-4FC2-8ED7-F7501FFF7EF8}" name="plVTT" dataDxfId="12"/>
    <tableColumn id="20" xr3:uid="{A48EF68D-AE95-45A8-9559-3B44B8507C64}" name="ptVTT" dataDxfId="11"/>
    <tableColumn id="21" xr3:uid="{51ACBADD-471C-4621-BA9A-AF08904CEC35}" name="Age" dataDxfId="10"/>
    <tableColumn id="22" xr3:uid="{F19B188A-5E84-4144-A008-D8621ADA6313}" name="Cat-VTT" dataDxfId="9"/>
    <tableColumn id="23" xr3:uid="{7DBC9B3E-DFAA-4512-87FF-01DA170F1564}" name="SurClass" dataDxfId="8"/>
    <tableColumn id="24" xr3:uid="{B020545C-D0A9-4F80-A44D-C18055E3A042}" name="Type-Lic" dataDxfId="7"/>
    <tableColumn id="25" xr3:uid="{69B581DC-AEAF-49DC-8750-F6C48CF3E2B5}" name="Nom + Prénom" dataDxfId="6"/>
    <tableColumn id="26" xr3:uid="{53043354-37C4-4388-9C1D-4319CFA5B26C}" name="Comp" dataDxfId="5"/>
    <tableColumn id="27" xr3:uid="{00608FDB-D7A8-41A0-899A-8848263E3B5A}" name="Décou" dataDxfId="4"/>
    <tableColumn id="28" xr3:uid="{4D19FA44-9B38-49B5-9034-16DC42020A8F}" name="Lois" dataDxfId="3"/>
    <tableColumn id="29" xr3:uid="{63F4AE9B-750B-4D47-B4DF-1D6B57996C19}" name="Handi" dataDxfId="2"/>
    <tableColumn id="30" xr3:uid="{DF8AF4AB-DBAD-44BC-90CA-BC413C6135F1}" name="Lic.class" dataDxfId="1"/>
    <tableColumn id="31" xr3:uid="{F363890D-20A9-4030-9238-5A64885EC334}" name="Colonne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EF8C3-F839-4312-ABAD-8EE52865F01F}">
  <sheetPr codeName="Feuil8"/>
  <dimension ref="A1:CY7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11" sqref="G11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3" bestFit="1" customWidth="1"/>
    <col min="6" max="6" width="9.109375" style="5" bestFit="1" customWidth="1"/>
    <col min="7" max="7" width="5.77734375" bestFit="1" customWidth="1"/>
    <col min="8" max="8" width="8.109375" style="7" bestFit="1" customWidth="1"/>
    <col min="9" max="9" width="21.21875" bestFit="1" customWidth="1"/>
    <col min="10" max="10" width="6.109375" style="3" bestFit="1" customWidth="1"/>
    <col min="11" max="11" width="7.109375" style="5" bestFit="1" customWidth="1"/>
    <col min="12" max="12" width="5.77734375" bestFit="1" customWidth="1"/>
    <col min="13" max="13" width="6.5546875" style="7" bestFit="1" customWidth="1"/>
    <col min="14" max="14" width="30.21875" bestFit="1" customWidth="1"/>
    <col min="15" max="15" width="6.109375" style="3" bestFit="1" customWidth="1"/>
    <col min="16" max="16" width="6" style="5" bestFit="1" customWidth="1"/>
    <col min="17" max="17" width="4.5546875" style="7" bestFit="1" customWidth="1"/>
    <col min="18" max="18" width="5.21875" style="7" bestFit="1" customWidth="1"/>
    <col min="19" max="19" width="28.77734375" bestFit="1" customWidth="1"/>
    <col min="20" max="20" width="6.109375" style="3" bestFit="1" customWidth="1"/>
    <col min="21" max="21" width="7.109375" style="5" bestFit="1" customWidth="1"/>
    <col min="22" max="22" width="6.5546875" style="7" bestFit="1" customWidth="1"/>
    <col min="23" max="23" width="5.21875" style="7" bestFit="1" customWidth="1"/>
    <col min="24" max="24" width="26.33203125" bestFit="1" customWidth="1"/>
    <col min="25" max="25" width="6.109375" style="3" bestFit="1" customWidth="1"/>
    <col min="26" max="26" width="6" style="5" bestFit="1" customWidth="1"/>
    <col min="27" max="27" width="4.5546875" bestFit="1" customWidth="1"/>
    <col min="28" max="28" width="5.21875" style="7" bestFit="1" customWidth="1"/>
    <col min="29" max="29" width="27.77734375" bestFit="1" customWidth="1"/>
    <col min="30" max="30" width="6.109375" style="3" bestFit="1" customWidth="1"/>
    <col min="31" max="31" width="6" style="5" bestFit="1" customWidth="1"/>
    <col min="32" max="32" width="4.5546875" bestFit="1" customWidth="1"/>
    <col min="33" max="33" width="5.21875" style="7" bestFit="1" customWidth="1"/>
    <col min="34" max="34" width="26.88671875" bestFit="1" customWidth="1"/>
    <col min="35" max="35" width="6.109375" style="3" bestFit="1" customWidth="1"/>
    <col min="36" max="36" width="6" style="5" bestFit="1" customWidth="1"/>
    <col min="37" max="37" width="4.5546875" bestFit="1" customWidth="1"/>
    <col min="38" max="38" width="5.21875" style="7" bestFit="1" customWidth="1"/>
    <col min="39" max="39" width="24.44140625" bestFit="1" customWidth="1"/>
    <col min="40" max="40" width="6.109375" style="3" bestFit="1" customWidth="1"/>
    <col min="41" max="41" width="6" style="5" bestFit="1" customWidth="1"/>
    <col min="42" max="42" width="4.5546875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6" style="5" bestFit="1" customWidth="1"/>
    <col min="47" max="47" width="4.5546875" bestFit="1" customWidth="1"/>
    <col min="48" max="48" width="5.218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5.5546875" bestFit="1" customWidth="1"/>
    <col min="58" max="58" width="5.218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24.44140625" bestFit="1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14.77734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</cols>
  <sheetData>
    <row r="1" spans="1:103" x14ac:dyDescent="0.3">
      <c r="A1" t="s">
        <v>0</v>
      </c>
    </row>
    <row r="2" spans="1:103" x14ac:dyDescent="0.3">
      <c r="A2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5" t="s">
        <v>17</v>
      </c>
      <c r="Q2" s="7" t="s">
        <v>18</v>
      </c>
      <c r="R2" s="7" t="s">
        <v>499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498</v>
      </c>
      <c r="X2" t="s">
        <v>23</v>
      </c>
      <c r="Y2" s="3" t="s">
        <v>24</v>
      </c>
      <c r="Z2" s="5" t="s">
        <v>25</v>
      </c>
      <c r="AA2" t="s">
        <v>26</v>
      </c>
      <c r="AB2" s="7" t="s">
        <v>486</v>
      </c>
      <c r="AC2" t="s">
        <v>27</v>
      </c>
      <c r="AD2" s="3" t="s">
        <v>28</v>
      </c>
      <c r="AE2" s="5" t="s">
        <v>29</v>
      </c>
      <c r="AF2" t="s">
        <v>30</v>
      </c>
      <c r="AG2" s="7" t="s">
        <v>487</v>
      </c>
      <c r="AH2" t="s">
        <v>31</v>
      </c>
      <c r="AI2" s="3" t="s">
        <v>32</v>
      </c>
      <c r="AJ2" s="5" t="s">
        <v>33</v>
      </c>
      <c r="AK2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  <c r="AW2" t="s">
        <v>43</v>
      </c>
      <c r="AX2" s="3" t="s">
        <v>44</v>
      </c>
      <c r="AY2" s="5" t="s">
        <v>45</v>
      </c>
      <c r="AZ2" t="s">
        <v>46</v>
      </c>
      <c r="BA2" s="7" t="s">
        <v>497</v>
      </c>
      <c r="BB2" t="s">
        <v>47</v>
      </c>
      <c r="BC2" s="3" t="s">
        <v>48</v>
      </c>
      <c r="BD2" s="5" t="s">
        <v>49</v>
      </c>
      <c r="BE2" t="s">
        <v>50</v>
      </c>
      <c r="BF2" s="7" t="s">
        <v>496</v>
      </c>
      <c r="BG2" t="s">
        <v>51</v>
      </c>
      <c r="BH2" s="3" t="s">
        <v>52</v>
      </c>
      <c r="BI2" s="5" t="s">
        <v>53</v>
      </c>
      <c r="BJ2" t="s">
        <v>54</v>
      </c>
      <c r="BK2" s="7" t="s">
        <v>495</v>
      </c>
      <c r="BL2" t="s">
        <v>55</v>
      </c>
      <c r="BM2" s="3" t="s">
        <v>56</v>
      </c>
      <c r="BN2" s="5" t="s">
        <v>57</v>
      </c>
      <c r="BO2" t="s">
        <v>58</v>
      </c>
      <c r="BP2" s="7" t="s">
        <v>494</v>
      </c>
      <c r="BQ2" t="s">
        <v>59</v>
      </c>
      <c r="BR2" s="3" t="s">
        <v>60</v>
      </c>
      <c r="BS2" s="5" t="s">
        <v>61</v>
      </c>
      <c r="BT2" t="s">
        <v>62</v>
      </c>
      <c r="BU2" s="7" t="s">
        <v>493</v>
      </c>
      <c r="BV2" t="s">
        <v>63</v>
      </c>
      <c r="BW2" s="3" t="s">
        <v>64</v>
      </c>
      <c r="BX2" s="5" t="s">
        <v>65</v>
      </c>
      <c r="BY2" t="s">
        <v>66</v>
      </c>
      <c r="BZ2" s="7" t="s">
        <v>492</v>
      </c>
      <c r="CA2" t="s">
        <v>524</v>
      </c>
      <c r="CB2" s="3" t="s">
        <v>525</v>
      </c>
      <c r="CC2" s="5" t="s">
        <v>526</v>
      </c>
      <c r="CD2" t="s">
        <v>527</v>
      </c>
      <c r="CE2" s="7" t="s">
        <v>528</v>
      </c>
      <c r="CF2" t="s">
        <v>530</v>
      </c>
      <c r="CG2" s="3" t="s">
        <v>531</v>
      </c>
      <c r="CH2" s="5" t="s">
        <v>532</v>
      </c>
      <c r="CI2" t="s">
        <v>533</v>
      </c>
      <c r="CJ2" s="7" t="s">
        <v>534</v>
      </c>
      <c r="CK2" t="s">
        <v>537</v>
      </c>
      <c r="CL2" t="s">
        <v>538</v>
      </c>
      <c r="CM2" t="s">
        <v>539</v>
      </c>
      <c r="CN2" t="s">
        <v>541</v>
      </c>
      <c r="CO2" t="s">
        <v>540</v>
      </c>
      <c r="CP2" t="s">
        <v>543</v>
      </c>
      <c r="CQ2" t="s">
        <v>544</v>
      </c>
      <c r="CR2" t="s">
        <v>545</v>
      </c>
      <c r="CS2" t="s">
        <v>546</v>
      </c>
      <c r="CT2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B3" t="str">
        <f>IF(A3="","",_xlfn.XLOOKUP(A3,Tab_base[Nom + Prénom],Tab_base[Puce], ""))</f>
        <v/>
      </c>
      <c r="C3" t="str">
        <f>IF(A3="","",_xlfn.XLOOKUP(A3,Tab_base[Nom + Prénom],Tab_base[Court],""))</f>
        <v/>
      </c>
      <c r="G3" s="4"/>
    </row>
    <row r="4" spans="1:103" x14ac:dyDescent="0.3">
      <c r="B4" t="str">
        <f>IF(A4="","",_xlfn.XLOOKUP(A4,Tab_base[Nom + Prénom],Tab_base[Puce], ""))</f>
        <v/>
      </c>
      <c r="C4" t="str">
        <f>IF(A4="","",_xlfn.XLOOKUP(A4,Tab_base[Nom + Prénom],Tab_base[Court],""))</f>
        <v/>
      </c>
    </row>
    <row r="5" spans="1:103" x14ac:dyDescent="0.3">
      <c r="B5" t="str">
        <f>IF(A5="","",_xlfn.XLOOKUP(A5,Tab_base[Nom + Prénom],Tab_base[Puce], ""))</f>
        <v/>
      </c>
      <c r="C5" t="str">
        <f>IF(A5="","",_xlfn.XLOOKUP(A5,Tab_base[Nom + Prénom],Tab_base[Court],""))</f>
        <v/>
      </c>
      <c r="G5" s="4"/>
    </row>
    <row r="6" spans="1:103" x14ac:dyDescent="0.3">
      <c r="B6" t="str">
        <f>IF(A6="","",_xlfn.XLOOKUP(A6,Tab_base[Nom + Prénom],Tab_base[Puce], ""))</f>
        <v/>
      </c>
      <c r="C6" t="str">
        <f>IF(A6="","",_xlfn.XLOOKUP(A6,Tab_base[Nom + Prénom],Tab_base[Court],""))</f>
        <v/>
      </c>
    </row>
    <row r="7" spans="1:103" x14ac:dyDescent="0.3">
      <c r="B7" t="str">
        <f>IF(A7="","",_xlfn.XLOOKUP(A7,Tab_base[Nom + Prénom],Tab_base[Puce], ""))</f>
        <v/>
      </c>
      <c r="C7" t="str">
        <f>IF(A7="","",_xlfn.XLOOKUP(A7,Tab_base[Nom + Prénom],Tab_base[Court],""))</f>
        <v/>
      </c>
    </row>
    <row r="8" spans="1:103" x14ac:dyDescent="0.3">
      <c r="B8" t="str">
        <f>IF(A8="","",_xlfn.XLOOKUP(A8,Tab_base[Nom + Prénom],Tab_base[Puce], ""))</f>
        <v/>
      </c>
      <c r="C8" t="str">
        <f>IF(A8="","",_xlfn.XLOOKUP(A8,Tab_base[Nom + Prénom],Tab_base[Court],""))</f>
        <v/>
      </c>
    </row>
    <row r="9" spans="1:103" x14ac:dyDescent="0.3">
      <c r="B9" t="str">
        <f>IF(A9="","",_xlfn.XLOOKUP(A9,Tab_base[Nom + Prénom],Tab_base[Puce], ""))</f>
        <v/>
      </c>
      <c r="C9" t="str">
        <f>IF(A9="","",_xlfn.XLOOKUP(A9,Tab_base[Nom + Prénom],Tab_base[Court],""))</f>
        <v/>
      </c>
      <c r="G9" s="4"/>
      <c r="L9" s="4"/>
    </row>
    <row r="10" spans="1:103" x14ac:dyDescent="0.3">
      <c r="B10" t="str">
        <f>IF(A10="","",_xlfn.XLOOKUP(A10,Tab_base[Nom + Prénom],Tab_base[Puce], ""))</f>
        <v/>
      </c>
      <c r="C10" t="str">
        <f>IF(A10="","",_xlfn.XLOOKUP(A10,Tab_base[Nom + Prénom],Tab_base[Court],""))</f>
        <v/>
      </c>
      <c r="G10" s="6"/>
      <c r="L10" s="6"/>
      <c r="W10" s="8"/>
    </row>
    <row r="11" spans="1:103" x14ac:dyDescent="0.3">
      <c r="B11" t="str">
        <f>IF(A11="","",_xlfn.XLOOKUP(A11,Tab_base[Nom + Prénom],Tab_base[Puce], ""))</f>
        <v/>
      </c>
      <c r="C11" t="str">
        <f>IF(A11="","",_xlfn.XLOOKUP(A11,Tab_base[Nom + Prénom],Tab_base[Court],""))</f>
        <v/>
      </c>
      <c r="G11" s="6"/>
      <c r="L11" s="6"/>
      <c r="AP11" s="6"/>
    </row>
    <row r="12" spans="1:103" x14ac:dyDescent="0.3">
      <c r="B12" t="str">
        <f>IF(A12="","",_xlfn.XLOOKUP(A12,Tab_base[Nom + Prénom],Tab_base[Puce], ""))</f>
        <v/>
      </c>
      <c r="C12" t="str">
        <f>IF(A12="","",_xlfn.XLOOKUP(A12,Tab_base[Nom + Prénom],Tab_base[Court],""))</f>
        <v/>
      </c>
      <c r="G12" s="6"/>
      <c r="L12" s="6"/>
      <c r="AP12" s="6"/>
    </row>
    <row r="13" spans="1:103" x14ac:dyDescent="0.3">
      <c r="B13" t="str">
        <f>IF(A13="","",_xlfn.XLOOKUP(A13,Tab_base[Nom + Prénom],Tab_base[Puce], ""))</f>
        <v/>
      </c>
      <c r="C13" t="str">
        <f>IF(A13="","",_xlfn.XLOOKUP(A13,Tab_base[Nom + Prénom],Tab_base[Court],""))</f>
        <v/>
      </c>
      <c r="AA13" s="6"/>
      <c r="AF13" s="6"/>
      <c r="AK13" s="6"/>
    </row>
    <row r="14" spans="1:103" x14ac:dyDescent="0.3">
      <c r="B14" t="str">
        <f>IF(A14="","",_xlfn.XLOOKUP(A14,Tab_base[Nom + Prénom],Tab_base[Puce], ""))</f>
        <v/>
      </c>
      <c r="C14" t="str">
        <f>IF(A14="","",_xlfn.XLOOKUP(A14,Tab_base[Nom + Prénom],Tab_base[Court],""))</f>
        <v/>
      </c>
      <c r="AA14" s="6"/>
      <c r="AK14" s="4"/>
    </row>
    <row r="15" spans="1:103" x14ac:dyDescent="0.3">
      <c r="B15" t="str">
        <f>IF(A15="","",_xlfn.XLOOKUP(A15,Tab_base[Nom + Prénom],Tab_base[Puce], ""))</f>
        <v/>
      </c>
      <c r="C15" t="str">
        <f>IF(A15="","",_xlfn.XLOOKUP(A15,Tab_base[Nom + Prénom],Tab_base[Court],""))</f>
        <v/>
      </c>
      <c r="AF15" s="6"/>
    </row>
    <row r="16" spans="1:103" x14ac:dyDescent="0.3">
      <c r="B16" t="str">
        <f>IF(A16="","",_xlfn.XLOOKUP(A16,Tab_base[Nom + Prénom],Tab_base[Puce], ""))</f>
        <v/>
      </c>
      <c r="C16" t="str">
        <f>IF(A16="","",_xlfn.XLOOKUP(A16,Tab_base[Nom + Prénom],Tab_base[Court],""))</f>
        <v/>
      </c>
      <c r="AF16" s="6"/>
    </row>
    <row r="17" spans="2:3" x14ac:dyDescent="0.3">
      <c r="B17" t="str">
        <f>IF(A17="","",_xlfn.XLOOKUP(A17,Tab_base[Nom + Prénom],Tab_base[Puce], ""))</f>
        <v/>
      </c>
      <c r="C17" t="str">
        <f>IF(A17="","",_xlfn.XLOOKUP(A17,Tab_base[Nom + Prénom],Tab_base[Court],""))</f>
        <v/>
      </c>
    </row>
    <row r="18" spans="2:3" x14ac:dyDescent="0.3">
      <c r="B18" t="str">
        <f>IF(A18="","",_xlfn.XLOOKUP(A18,Tab_base[Nom + Prénom],Tab_base[Puce], ""))</f>
        <v/>
      </c>
      <c r="C18" t="str">
        <f>IF(A18="","",_xlfn.XLOOKUP(A18,Tab_base[Nom + Prénom],Tab_base[Court],""))</f>
        <v/>
      </c>
    </row>
    <row r="19" spans="2:3" x14ac:dyDescent="0.3">
      <c r="B19" t="str">
        <f>IF(A19="","",_xlfn.XLOOKUP(A19,Tab_base[Nom + Prénom],Tab_base[Puce], ""))</f>
        <v/>
      </c>
      <c r="C19" t="str">
        <f>IF(A19="","",_xlfn.XLOOKUP(A19,Tab_base[Nom + Prénom],Tab_base[Court],""))</f>
        <v/>
      </c>
    </row>
    <row r="20" spans="2:3" x14ac:dyDescent="0.3">
      <c r="B20" t="str">
        <f>IF(A20="","",_xlfn.XLOOKUP(A20,Tab_base[Nom + Prénom],Tab_base[Puce], ""))</f>
        <v/>
      </c>
      <c r="C20" t="str">
        <f>IF(A20="","",_xlfn.XLOOKUP(A20,Tab_base[Nom + Prénom],Tab_base[Court],""))</f>
        <v/>
      </c>
    </row>
    <row r="21" spans="2:3" x14ac:dyDescent="0.3">
      <c r="B21" t="str">
        <f>IF(A21="","",_xlfn.XLOOKUP(A21,Tab_base[Nom + Prénom],Tab_base[Puce], ""))</f>
        <v/>
      </c>
      <c r="C21" t="str">
        <f>IF(A21="","",_xlfn.XLOOKUP(A21,Tab_base[Nom + Prénom],Tab_base[Court],""))</f>
        <v/>
      </c>
    </row>
    <row r="22" spans="2:3" x14ac:dyDescent="0.3">
      <c r="B22" t="str">
        <f>IF(A22="","",_xlfn.XLOOKUP(A22,Tab_base[Nom + Prénom],Tab_base[Puce], ""))</f>
        <v/>
      </c>
      <c r="C22" t="str">
        <f>IF(A22="","",_xlfn.XLOOKUP(A22,Tab_base[Nom + Prénom],Tab_base[Court],""))</f>
        <v/>
      </c>
    </row>
    <row r="23" spans="2:3" x14ac:dyDescent="0.3">
      <c r="B23" t="str">
        <f>IF(A23="","",_xlfn.XLOOKUP(A23,Tab_base[Nom + Prénom],Tab_base[Puce], ""))</f>
        <v/>
      </c>
      <c r="C23" t="str">
        <f>IF(A23="","",_xlfn.XLOOKUP(A23,Tab_base[Nom + Prénom],Tab_base[Court],""))</f>
        <v/>
      </c>
    </row>
    <row r="24" spans="2:3" x14ac:dyDescent="0.3">
      <c r="B24" t="str">
        <f>IF(A24="","",_xlfn.XLOOKUP(A24,Tab_base[Nom + Prénom],Tab_base[Puce], ""))</f>
        <v/>
      </c>
      <c r="C24" t="str">
        <f>IF(A24="","",_xlfn.XLOOKUP(A24,Tab_base[Nom + Prénom],Tab_base[Court],""))</f>
        <v/>
      </c>
    </row>
    <row r="25" spans="2:3" x14ac:dyDescent="0.3">
      <c r="B25" t="str">
        <f>IF(A25="","",_xlfn.XLOOKUP(A25,Tab_base[Nom + Prénom],Tab_base[Puce], ""))</f>
        <v/>
      </c>
      <c r="C25" t="str">
        <f>IF(A25="","",_xlfn.XLOOKUP(A25,Tab_base[Nom + Prénom],Tab_base[Court],""))</f>
        <v/>
      </c>
    </row>
    <row r="26" spans="2:3" x14ac:dyDescent="0.3">
      <c r="B26" t="str">
        <f>IF(A26="","",_xlfn.XLOOKUP(A26,Tab_base[Nom + Prénom],Tab_base[Puce], ""))</f>
        <v/>
      </c>
      <c r="C26" t="str">
        <f>IF(A26="","",_xlfn.XLOOKUP(A26,Tab_base[Nom + Prénom],Tab_base[Court],""))</f>
        <v/>
      </c>
    </row>
    <row r="27" spans="2:3" ht="13.2" customHeight="1" x14ac:dyDescent="0.3">
      <c r="B27" t="str">
        <f>IF(A27="","",_xlfn.XLOOKUP(A27,Tab_base[Nom + Prénom],Tab_base[Puce], ""))</f>
        <v/>
      </c>
      <c r="C27" t="str">
        <f>IF(A27="","",_xlfn.XLOOKUP(A27,Tab_base[Nom + Prénom],Tab_base[Court],""))</f>
        <v/>
      </c>
    </row>
    <row r="28" spans="2:3" x14ac:dyDescent="0.3">
      <c r="B28" t="str">
        <f>IF(A28="","",_xlfn.XLOOKUP(A28,Tab_base[Nom + Prénom],Tab_base[Puce], ""))</f>
        <v/>
      </c>
      <c r="C28" t="str">
        <f>IF(A28="","",_xlfn.XLOOKUP(A28,Tab_base[Nom + Prénom],Tab_base[Court],""))</f>
        <v/>
      </c>
    </row>
    <row r="29" spans="2:3" x14ac:dyDescent="0.3">
      <c r="B29" t="str">
        <f>IF(A29="","",_xlfn.XLOOKUP(A29,Tab_base[Nom + Prénom],Tab_base[Puce], ""))</f>
        <v/>
      </c>
      <c r="C29" t="str">
        <f>IF(A29="","",_xlfn.XLOOKUP(A29,Tab_base[Nom + Prénom],Tab_base[Court],""))</f>
        <v/>
      </c>
    </row>
    <row r="30" spans="2:3" x14ac:dyDescent="0.3">
      <c r="B30" t="str">
        <f>IF(A30="","",_xlfn.XLOOKUP(A30,Tab_base[Nom + Prénom],Tab_base[Puce], ""))</f>
        <v/>
      </c>
      <c r="C30" t="str">
        <f>IF(A30="","",_xlfn.XLOOKUP(A30,Tab_base[Nom + Prénom],Tab_base[Court],""))</f>
        <v/>
      </c>
    </row>
    <row r="31" spans="2:3" x14ac:dyDescent="0.3">
      <c r="B31" t="str">
        <f>IF(A31="","",_xlfn.XLOOKUP(A31,Tab_base[Nom + Prénom],Tab_base[Puce], ""))</f>
        <v/>
      </c>
      <c r="C31" t="str">
        <f>IF(A31="","",_xlfn.XLOOKUP(A31,Tab_base[Nom + Prénom],Tab_base[Court],""))</f>
        <v/>
      </c>
    </row>
    <row r="32" spans="2:3" x14ac:dyDescent="0.3">
      <c r="B32" t="str">
        <f>IF(A32="","",_xlfn.XLOOKUP(A32,Tab_base[Nom + Prénom],Tab_base[Puce], ""))</f>
        <v/>
      </c>
      <c r="C32" t="str">
        <f>IF(A32="","",_xlfn.XLOOKUP(A32,Tab_base[Nom + Prénom],Tab_base[Court],""))</f>
        <v/>
      </c>
    </row>
    <row r="33" spans="1:99" x14ac:dyDescent="0.3">
      <c r="B33" t="str">
        <f>IF(A33="","",_xlfn.XLOOKUP(A33,Tab_base[Nom + Prénom],Tab_base[Puce], ""))</f>
        <v/>
      </c>
      <c r="C33" t="str">
        <f>IF(A33="","",_xlfn.XLOOKUP(A33,Tab_base[Nom + Prénom],Tab_base[Court],""))</f>
        <v/>
      </c>
    </row>
    <row r="34" spans="1:99" x14ac:dyDescent="0.3">
      <c r="B34" t="str">
        <f>IF(A34="","",_xlfn.XLOOKUP(A34,Tab_base[Nom + Prénom],Tab_base[Puce], ""))</f>
        <v/>
      </c>
      <c r="C34" t="str">
        <f>IF(A34="","",_xlfn.XLOOKUP(A34,Tab_base[Nom + Prénom],Tab_base[Court],""))</f>
        <v/>
      </c>
    </row>
    <row r="35" spans="1:99" x14ac:dyDescent="0.3">
      <c r="B35" t="str">
        <f>IF(A35="","",_xlfn.XLOOKUP(A35,Tab_base[Nom + Prénom],Tab_base[Puce], ""))</f>
        <v/>
      </c>
      <c r="C35" t="str">
        <f>IF(A35="","",_xlfn.XLOOKUP(A35,Tab_base[Nom + Prénom],Tab_base[Court],""))</f>
        <v/>
      </c>
    </row>
    <row r="36" spans="1:99" x14ac:dyDescent="0.3">
      <c r="B36" t="str">
        <f>IF(A36="","",_xlfn.XLOOKUP(A36,Tab_base[Nom + Prénom],Tab_base[Puce], ""))</f>
        <v/>
      </c>
      <c r="C36" t="str">
        <f>IF(A36="","",_xlfn.XLOOKUP(A36,Tab_base[Nom + Prénom],Tab_base[Court],""))</f>
        <v/>
      </c>
    </row>
    <row r="37" spans="1:99" x14ac:dyDescent="0.3">
      <c r="B37" t="str">
        <f>IF(A37="","",_xlfn.XLOOKUP(A37,Tab_base[Nom + Prénom],Tab_base[Puce], ""))</f>
        <v/>
      </c>
      <c r="C37" t="str">
        <f>IF(A37="","",_xlfn.XLOOKUP(A37,Tab_base[Nom + Prénom],Tab_base[Court],""))</f>
        <v/>
      </c>
    </row>
    <row r="38" spans="1:99" x14ac:dyDescent="0.3">
      <c r="B38" t="str">
        <f>IF(A38="","",_xlfn.XLOOKUP(A38,Tab_base[Nom + Prénom],Tab_base[Puce], ""))</f>
        <v/>
      </c>
      <c r="C38" t="str">
        <f>IF(A38="","",_xlfn.XLOOKUP(A38,Tab_base[Nom + Prénom],Tab_base[Court],""))</f>
        <v/>
      </c>
    </row>
    <row r="39" spans="1:99" x14ac:dyDescent="0.3">
      <c r="B39" t="str">
        <f>IF(A39="","",_xlfn.XLOOKUP(A39,Tab_base[Nom + Prénom],Tab_base[Puce], ""))</f>
        <v/>
      </c>
      <c r="C39" t="str">
        <f>IF(A39="","",_xlfn.XLOOKUP(A39,Tab_base[Nom + Prénom],Tab_base[Court],""))</f>
        <v/>
      </c>
    </row>
    <row r="40" spans="1:99" x14ac:dyDescent="0.3">
      <c r="B40" t="str">
        <f>IF(A40="","",_xlfn.XLOOKUP(A40,Tab_base[Nom + Prénom],Tab_base[Puce], ""))</f>
        <v/>
      </c>
      <c r="C40" t="str">
        <f>IF(A40="","",_xlfn.XLOOKUP(A40,Tab_base[Nom + Prénom],Tab_base[Court],""))</f>
        <v/>
      </c>
    </row>
    <row r="41" spans="1:99" s="131" customFormat="1" x14ac:dyDescent="0.3">
      <c r="A41" s="131" t="s">
        <v>689</v>
      </c>
      <c r="B41" s="131" t="str">
        <f>IF(A41="","",_xlfn.XLOOKUP(A41,Tab_base[Nom + Prénom],Tab_base[Puce], ""))</f>
        <v>.</v>
      </c>
      <c r="C41" s="131" t="str">
        <f>IF(A41="","",_xlfn.XLOOKUP(A41,Tab_base[Nom + Prénom],Tab_base[Court],""))</f>
        <v>.</v>
      </c>
      <c r="D41" s="131" t="str">
        <f>IF(COUNTIF(D$3:D40, "&lt;&gt;")=0, "", COUNTIF(D$3:D40, "&lt;&gt;"))</f>
        <v/>
      </c>
      <c r="I41" s="131" t="str">
        <f>IF(COUNTIF(I$3:I40, "&lt;&gt;")=0, "", COUNTIF(I$3:I40, "&lt;&gt;"))</f>
        <v/>
      </c>
      <c r="N41" s="131" t="str">
        <f>IF(COUNTIF(N$3:N40, "&lt;&gt;")=0, "", COUNTIF(N$3:N40, "&lt;&gt;"))</f>
        <v/>
      </c>
      <c r="S41" s="131" t="str">
        <f>IF(COUNTIF(S$3:S40, "&lt;&gt;")=0, "", COUNTIF(S$3:S40, "&lt;&gt;"))</f>
        <v/>
      </c>
      <c r="X41" s="131" t="str">
        <f>IF(COUNTIF(X$3:X40, "&lt;&gt;")=0, "", COUNTIF(X$3:X40, "&lt;&gt;"))</f>
        <v/>
      </c>
      <c r="AC41" s="131" t="str">
        <f>IF(COUNTIF(AC$3:AC40, "&lt;&gt;")=0, "", COUNTIF(AC$3:AC40, "&lt;&gt;"))</f>
        <v/>
      </c>
      <c r="AH41" s="131" t="str">
        <f>IF(COUNTIF(AH$3:AH40, "&lt;&gt;")=0, "", COUNTIF(AH$3:AH40, "&lt;&gt;"))</f>
        <v/>
      </c>
      <c r="AM41" s="131" t="str">
        <f>IF(COUNTIF(AM$3:AM40, "&lt;&gt;")=0, "", COUNTIF(AM$3:AM40, "&lt;&gt;"))</f>
        <v/>
      </c>
      <c r="AR41" s="131" t="str">
        <f>IF(COUNTIF(AR$3:AR40, "&lt;&gt;")=0, "", COUNTIF(AR$3:AR40, "&lt;&gt;"))</f>
        <v/>
      </c>
      <c r="AW41" s="131" t="str">
        <f>IF(COUNTIF(AW$3:AW40, "&lt;&gt;")=0, "", COUNTIF(AW$3:AW40, "&lt;&gt;"))</f>
        <v/>
      </c>
      <c r="BB41" s="131" t="str">
        <f>IF(COUNTIF(BB$3:BB40, "&lt;&gt;")=0, "", COUNTIF(BB$3:BB40, "&lt;&gt;"))</f>
        <v/>
      </c>
      <c r="BG41" s="131" t="str">
        <f>IF(COUNTIF(BG$3:BG40, "&lt;&gt;")=0, "", COUNTIF(BG$3:BG40, "&lt;&gt;"))</f>
        <v/>
      </c>
      <c r="BL41" s="131" t="str">
        <f>IF(COUNTIF(BL$3:BL40, "&lt;&gt;")=0, "", COUNTIF(BL$3:BL40, "&lt;&gt;"))</f>
        <v/>
      </c>
      <c r="BQ41" s="131" t="str">
        <f>IF(COUNTIF(BQ$3:BQ40, "&lt;&gt;")=0, "", COUNTIF(BQ$3:BQ40, "&lt;&gt;"))</f>
        <v/>
      </c>
      <c r="BV41" s="131" t="str">
        <f>IF(COUNTIF(BV$3:BV40, "&lt;&gt;")=0, "", COUNTIF(BV$3:BV40, "&lt;&gt;"))</f>
        <v/>
      </c>
      <c r="CA41" s="131" t="str">
        <f>IF(COUNTIF(CA$3:CA40, "&lt;&gt;")=0, "", COUNTIF(CA$3:CA40, "&lt;&gt;"))</f>
        <v/>
      </c>
      <c r="CF41" s="131" t="str">
        <f>IF(COUNTIF(CF$3:CF40, "&lt;&gt;")=0, "", COUNTIF(CF$3:CF40, "&lt;&gt;"))</f>
        <v/>
      </c>
      <c r="CK41" s="131" t="str">
        <f>IF(COUNTIF(CK$3:CK40, "&lt;&gt;")=0, "", COUNTIF(CK$3:CK40, "&lt;&gt;"))</f>
        <v/>
      </c>
      <c r="CP41" s="131" t="str">
        <f>IF(COUNTIF(CP$3:CP40, "&lt;&gt;")=0, "", COUNTIF(CP$3:CP40, "&lt;&gt;"))</f>
        <v/>
      </c>
      <c r="CU41" s="131" t="str">
        <f>IF(COUNTIF(CU$3:CU40, "&lt;&gt;")=0, "", COUNTIF(CU$3:CU40, "&lt;&gt;"))</f>
        <v/>
      </c>
    </row>
    <row r="42" spans="1:99" x14ac:dyDescent="0.3">
      <c r="B42" t="str">
        <f>IF(A42="","",_xlfn.XLOOKUP(A42,Tab_base[Nom + Prénom],Tab_base[Puce], ""))</f>
        <v/>
      </c>
      <c r="C42" t="str">
        <f>IF(A42="","",_xlfn.XLOOKUP(A42,Tab_base[Nom + Prénom],Tab_base[Court],""))</f>
        <v/>
      </c>
    </row>
    <row r="43" spans="1:99" ht="13.2" customHeight="1" x14ac:dyDescent="0.3">
      <c r="B43" t="str">
        <f>IF(A43="","",_xlfn.XLOOKUP(A43,Tab_base[Nom + Prénom],Tab_base[Puce], ""))</f>
        <v/>
      </c>
      <c r="C43" t="str">
        <f>IF(A43="","",_xlfn.XLOOKUP(A43,Tab_base[Nom + Prénom],Tab_base[Court],""))</f>
        <v/>
      </c>
    </row>
    <row r="50" spans="60:79" x14ac:dyDescent="0.3">
      <c r="BW50"/>
      <c r="BX50" s="3"/>
      <c r="BY50" s="5"/>
      <c r="BZ50"/>
      <c r="CA50" s="7"/>
    </row>
    <row r="54" spans="60:79" x14ac:dyDescent="0.3">
      <c r="BH54"/>
      <c r="BI54"/>
      <c r="BK54"/>
      <c r="BM54"/>
      <c r="BN54"/>
      <c r="BP54"/>
      <c r="BR54"/>
      <c r="BS54"/>
      <c r="BU54"/>
      <c r="BW54"/>
      <c r="BX54"/>
      <c r="BZ54"/>
    </row>
    <row r="60" spans="60:79" x14ac:dyDescent="0.3">
      <c r="BW60"/>
      <c r="BX60"/>
      <c r="BZ60"/>
    </row>
    <row r="61" spans="60:79" x14ac:dyDescent="0.3">
      <c r="BW61"/>
      <c r="BX61"/>
      <c r="BZ61"/>
    </row>
    <row r="62" spans="60:79" x14ac:dyDescent="0.3">
      <c r="BW62"/>
      <c r="BX62"/>
      <c r="BZ62"/>
    </row>
    <row r="63" spans="60:79" x14ac:dyDescent="0.3">
      <c r="BW63"/>
      <c r="BX63"/>
      <c r="BZ63"/>
    </row>
    <row r="64" spans="60:79" x14ac:dyDescent="0.3">
      <c r="BW64"/>
      <c r="BX64"/>
      <c r="BZ64"/>
    </row>
    <row r="65" spans="75:78" x14ac:dyDescent="0.3">
      <c r="BW65"/>
      <c r="BX65"/>
      <c r="BZ65"/>
    </row>
    <row r="66" spans="75:78" x14ac:dyDescent="0.3">
      <c r="BW66"/>
      <c r="BX66"/>
      <c r="BZ66"/>
    </row>
    <row r="67" spans="75:78" x14ac:dyDescent="0.3">
      <c r="BW67"/>
      <c r="BX67"/>
      <c r="BZ67"/>
    </row>
    <row r="71" spans="75:78" x14ac:dyDescent="0.3">
      <c r="BW71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07EA60-4DBC-4FA9-BFD7-5593CC258D6B}">
          <x14:formula1>
            <xm:f>base!$Y$2:$Y$93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BFDF4-22C9-4224-BF60-B8261B22FE80}">
  <sheetPr codeName="Feuil14"/>
  <dimension ref="A1:CY122"/>
  <sheetViews>
    <sheetView tabSelected="1" zoomScale="106" zoomScaleNormal="106" workbookViewId="0">
      <pane xSplit="3" ySplit="2" topLeftCell="BG3" activePane="bottomRight" state="frozen"/>
      <selection pane="topRight" activeCell="D1" sqref="D1"/>
      <selection pane="bottomLeft" activeCell="A3" sqref="A3"/>
      <selection pane="bottomRight" activeCell="BM12" sqref="BM12"/>
    </sheetView>
  </sheetViews>
  <sheetFormatPr baseColWidth="10" defaultColWidth="9.109375" defaultRowHeight="14.4" x14ac:dyDescent="0.3"/>
  <cols>
    <col min="1" max="1" width="18.21875" style="143" bestFit="1" customWidth="1"/>
    <col min="2" max="2" width="8.33203125" style="143" bestFit="1" customWidth="1"/>
    <col min="3" max="3" width="4.33203125" style="143" bestFit="1" customWidth="1"/>
    <col min="4" max="4" width="7.21875" style="43" bestFit="1" customWidth="1"/>
    <col min="5" max="5" width="7.109375" style="41" bestFit="1" customWidth="1"/>
    <col min="6" max="6" width="7" style="42" bestFit="1" customWidth="1"/>
    <col min="7" max="7" width="5.5546875" style="43" bestFit="1" customWidth="1"/>
    <col min="8" max="8" width="5.21875" style="44" bestFit="1" customWidth="1"/>
    <col min="9" max="9" width="7.21875" style="65" customWidth="1"/>
    <col min="10" max="10" width="7.109375" style="89" bestFit="1" customWidth="1"/>
    <col min="11" max="11" width="7" style="90" bestFit="1" customWidth="1"/>
    <col min="12" max="12" width="5.5546875" style="65" bestFit="1" customWidth="1"/>
    <col min="13" max="13" width="5.21875" style="91" bestFit="1" customWidth="1"/>
    <col min="14" max="14" width="8.21875" style="54" customWidth="1"/>
    <col min="15" max="15" width="7.109375" style="55" bestFit="1" customWidth="1"/>
    <col min="16" max="16" width="7" style="56" bestFit="1" customWidth="1"/>
    <col min="17" max="17" width="5.5546875" style="54" bestFit="1" customWidth="1"/>
    <col min="18" max="18" width="5.21875" style="53" bestFit="1" customWidth="1"/>
    <col min="19" max="23" width="9.109375" style="106"/>
    <col min="24" max="28" width="9.109375" style="112"/>
    <col min="29" max="33" width="9.109375" style="43"/>
    <col min="34" max="35" width="5.21875" style="53" customWidth="1"/>
    <col min="36" max="36" width="8.33203125" style="53" bestFit="1" customWidth="1"/>
    <col min="37" max="37" width="5.21875" style="53" customWidth="1"/>
    <col min="38" max="38" width="6.77734375" style="53" bestFit="1" customWidth="1"/>
    <col min="39" max="39" width="13.44140625" style="96" customWidth="1"/>
    <col min="40" max="40" width="6.109375" style="126" bestFit="1" customWidth="1"/>
    <col min="41" max="41" width="7.109375" style="127" bestFit="1" customWidth="1"/>
    <col min="42" max="42" width="6.5546875" style="96" bestFit="1" customWidth="1"/>
    <col min="43" max="43" width="5.21875" style="97" bestFit="1" customWidth="1"/>
    <col min="44" max="44" width="24.44140625" style="49" bestFit="1" customWidth="1"/>
    <col min="45" max="45" width="6.109375" style="50" bestFit="1" customWidth="1"/>
    <col min="46" max="46" width="8.109375" style="51" bestFit="1" customWidth="1"/>
    <col min="47" max="47" width="5.77734375" style="52" bestFit="1" customWidth="1"/>
    <col min="48" max="48" width="5.21875" style="52" bestFit="1" customWidth="1"/>
    <col min="49" max="49" width="26.88671875" style="43" bestFit="1" customWidth="1"/>
    <col min="50" max="50" width="6.109375" style="41" bestFit="1" customWidth="1"/>
    <col min="51" max="51" width="8.109375" style="42" bestFit="1" customWidth="1"/>
    <col min="52" max="52" width="7.44140625" style="44" bestFit="1" customWidth="1"/>
    <col min="53" max="53" width="5.21875" style="44" bestFit="1" customWidth="1"/>
    <col min="54" max="54" width="27.77734375" style="43" bestFit="1" customWidth="1"/>
    <col min="55" max="55" width="8.33203125" style="41" bestFit="1" customWidth="1"/>
    <col min="56" max="56" width="7.21875" style="44" bestFit="1" customWidth="1"/>
    <col min="57" max="57" width="6.6640625" style="43" bestFit="1" customWidth="1"/>
    <col min="58" max="58" width="7.77734375" style="44" bestFit="1" customWidth="1"/>
    <col min="59" max="59" width="26.33203125" style="49" bestFit="1" customWidth="1"/>
    <col min="60" max="60" width="6.109375" style="50" bestFit="1" customWidth="1"/>
    <col min="61" max="61" width="8.109375" style="52" bestFit="1" customWidth="1"/>
    <col min="62" max="62" width="7.6640625" style="52" bestFit="1" customWidth="1"/>
    <col min="63" max="63" width="6.77734375" style="52" bestFit="1" customWidth="1"/>
    <col min="64" max="64" width="30.21875" style="106" bestFit="1" customWidth="1"/>
    <col min="65" max="65" width="6.109375" style="107" bestFit="1" customWidth="1"/>
    <col min="66" max="66" width="8.109375" style="109" bestFit="1" customWidth="1"/>
    <col min="67" max="67" width="4.5546875" style="109" bestFit="1" customWidth="1"/>
    <col min="68" max="68" width="5.21875" style="109" bestFit="1" customWidth="1"/>
    <col min="69" max="69" width="21.21875" style="57" bestFit="1" customWidth="1"/>
    <col min="70" max="70" width="6.109375" style="58" bestFit="1" customWidth="1"/>
    <col min="71" max="71" width="7.109375" style="59" bestFit="1" customWidth="1"/>
    <col min="72" max="72" width="5.77734375" style="57" bestFit="1" customWidth="1"/>
    <col min="73" max="73" width="6.5546875" style="60" bestFit="1" customWidth="1"/>
    <col min="74" max="74" width="28.77734375" style="160" bestFit="1" customWidth="1"/>
    <col min="75" max="75" width="6.109375" style="161" bestFit="1" customWidth="1"/>
    <col min="76" max="76" width="7.109375" style="162" bestFit="1" customWidth="1"/>
    <col min="77" max="77" width="6.5546875" style="163" bestFit="1" customWidth="1"/>
    <col min="78" max="78" width="5.21875" style="163" bestFit="1" customWidth="1"/>
    <col min="79" max="79" width="20.5546875" style="65" bestFit="1" customWidth="1"/>
    <col min="80" max="80" width="6.109375" style="89" bestFit="1" customWidth="1"/>
    <col min="81" max="81" width="7.109375" style="90" bestFit="1" customWidth="1"/>
    <col min="82" max="82" width="5.77734375" style="65" bestFit="1" customWidth="1"/>
    <col min="83" max="83" width="8.109375" style="91" bestFit="1" customWidth="1"/>
    <col min="84" max="84" width="29.88671875" style="106" bestFit="1" customWidth="1"/>
    <col min="85" max="85" width="7.109375" style="107" bestFit="1" customWidth="1"/>
    <col min="86" max="86" width="7" style="108" bestFit="1" customWidth="1"/>
    <col min="87" max="87" width="5.5546875" style="106" bestFit="1" customWidth="1"/>
    <col min="88" max="88" width="5.21875" style="109" bestFit="1" customWidth="1"/>
    <col min="89" max="89" width="35.6640625" style="169" bestFit="1" customWidth="1"/>
    <col min="90" max="90" width="7.109375" style="170" bestFit="1" customWidth="1"/>
    <col min="91" max="91" width="7" style="171" bestFit="1" customWidth="1"/>
    <col min="92" max="92" width="5.5546875" style="169" bestFit="1" customWidth="1"/>
    <col min="93" max="93" width="5.21875" style="172" bestFit="1" customWidth="1"/>
    <col min="94" max="94" width="7.88671875" style="173" customWidth="1"/>
    <col min="95" max="95" width="7.109375" style="174" bestFit="1" customWidth="1"/>
    <col min="96" max="96" width="6.44140625" style="175" bestFit="1" customWidth="1"/>
    <col min="97" max="97" width="5.5546875" style="173" bestFit="1" customWidth="1"/>
    <col min="98" max="98" width="5.21875" style="176" bestFit="1" customWidth="1"/>
    <col min="99" max="103" width="9.109375" style="177"/>
    <col min="104" max="16384" width="9.109375" style="137"/>
  </cols>
  <sheetData>
    <row r="1" spans="1:103" ht="37.200000000000003" customHeight="1" x14ac:dyDescent="0.3">
      <c r="A1" s="143" t="s">
        <v>0</v>
      </c>
      <c r="D1" s="41" t="s">
        <v>523</v>
      </c>
      <c r="G1" s="43" t="s">
        <v>548</v>
      </c>
      <c r="I1" s="65" t="s">
        <v>85</v>
      </c>
      <c r="N1" s="54" t="s">
        <v>86</v>
      </c>
      <c r="S1" s="106" t="s">
        <v>548</v>
      </c>
      <c r="X1" s="112" t="s">
        <v>529</v>
      </c>
      <c r="AC1" s="43" t="s">
        <v>535</v>
      </c>
      <c r="AH1" s="54" t="s">
        <v>536</v>
      </c>
      <c r="AM1" s="96" t="s">
        <v>676</v>
      </c>
      <c r="AR1" s="49" t="s">
        <v>677</v>
      </c>
      <c r="AW1" s="43" t="s">
        <v>678</v>
      </c>
      <c r="BB1" s="43" t="s">
        <v>1088</v>
      </c>
      <c r="BL1" s="106" t="s">
        <v>1072</v>
      </c>
      <c r="BQ1" s="57" t="s">
        <v>1073</v>
      </c>
    </row>
    <row r="2" spans="1:103" x14ac:dyDescent="0.3">
      <c r="A2" s="143" t="s">
        <v>3</v>
      </c>
      <c r="B2" s="143" t="s">
        <v>4</v>
      </c>
      <c r="C2" s="144" t="s">
        <v>5</v>
      </c>
      <c r="D2" s="43" t="s">
        <v>6</v>
      </c>
      <c r="E2" s="41" t="s">
        <v>7</v>
      </c>
      <c r="F2" s="42" t="s">
        <v>8</v>
      </c>
      <c r="G2" s="43" t="s">
        <v>9</v>
      </c>
      <c r="H2" s="44" t="s">
        <v>490</v>
      </c>
      <c r="I2" s="65" t="s">
        <v>11</v>
      </c>
      <c r="J2" s="89" t="s">
        <v>12</v>
      </c>
      <c r="K2" s="90" t="s">
        <v>13</v>
      </c>
      <c r="L2" s="65" t="s">
        <v>14</v>
      </c>
      <c r="M2" s="91" t="s">
        <v>500</v>
      </c>
      <c r="N2" s="54" t="s">
        <v>15</v>
      </c>
      <c r="O2" s="55" t="s">
        <v>16</v>
      </c>
      <c r="P2" s="56" t="s">
        <v>17</v>
      </c>
      <c r="Q2" s="54" t="s">
        <v>18</v>
      </c>
      <c r="R2" s="53" t="s">
        <v>499</v>
      </c>
      <c r="S2" s="106" t="s">
        <v>19</v>
      </c>
      <c r="T2" s="106" t="s">
        <v>20</v>
      </c>
      <c r="U2" s="106" t="s">
        <v>21</v>
      </c>
      <c r="V2" s="106" t="s">
        <v>22</v>
      </c>
      <c r="W2" s="106" t="s">
        <v>498</v>
      </c>
      <c r="X2" s="112" t="s">
        <v>23</v>
      </c>
      <c r="Y2" s="113" t="s">
        <v>24</v>
      </c>
      <c r="Z2" s="114" t="s">
        <v>25</v>
      </c>
      <c r="AA2" s="112" t="s">
        <v>26</v>
      </c>
      <c r="AB2" s="112" t="s">
        <v>486</v>
      </c>
      <c r="AC2" s="43" t="s">
        <v>27</v>
      </c>
      <c r="AD2" s="41" t="s">
        <v>28</v>
      </c>
      <c r="AE2" s="42" t="s">
        <v>29</v>
      </c>
      <c r="AF2" s="43" t="s">
        <v>30</v>
      </c>
      <c r="AG2" s="44" t="s">
        <v>487</v>
      </c>
      <c r="AH2" s="54" t="s">
        <v>31</v>
      </c>
      <c r="AI2" s="55" t="s">
        <v>32</v>
      </c>
      <c r="AJ2" s="56" t="s">
        <v>33</v>
      </c>
      <c r="AK2" s="54" t="s">
        <v>34</v>
      </c>
      <c r="AL2" s="53" t="s">
        <v>488</v>
      </c>
      <c r="AM2" s="96" t="s">
        <v>35</v>
      </c>
      <c r="AN2" s="126" t="s">
        <v>36</v>
      </c>
      <c r="AO2" s="127" t="s">
        <v>37</v>
      </c>
      <c r="AP2" s="96" t="s">
        <v>38</v>
      </c>
      <c r="AQ2" s="97" t="s">
        <v>489</v>
      </c>
      <c r="AR2" s="49" t="s">
        <v>39</v>
      </c>
      <c r="AS2" s="50" t="s">
        <v>40</v>
      </c>
      <c r="AT2" s="51" t="s">
        <v>41</v>
      </c>
      <c r="AU2" s="52" t="s">
        <v>42</v>
      </c>
      <c r="AV2" s="52" t="s">
        <v>491</v>
      </c>
      <c r="AW2" s="43" t="s">
        <v>43</v>
      </c>
      <c r="AX2" s="41" t="s">
        <v>44</v>
      </c>
      <c r="AY2" s="42" t="s">
        <v>45</v>
      </c>
      <c r="AZ2" s="44" t="s">
        <v>46</v>
      </c>
      <c r="BA2" s="44" t="s">
        <v>497</v>
      </c>
      <c r="BB2" s="77" t="s">
        <v>47</v>
      </c>
      <c r="BC2" s="178" t="s">
        <v>48</v>
      </c>
      <c r="BD2" s="78" t="s">
        <v>49</v>
      </c>
      <c r="BE2" s="77" t="s">
        <v>50</v>
      </c>
      <c r="BF2" s="78" t="s">
        <v>496</v>
      </c>
      <c r="BG2" s="75" t="s">
        <v>51</v>
      </c>
      <c r="BH2" s="67" t="s">
        <v>52</v>
      </c>
      <c r="BI2" s="74" t="s">
        <v>53</v>
      </c>
      <c r="BJ2" s="74" t="s">
        <v>54</v>
      </c>
      <c r="BK2" s="74" t="s">
        <v>495</v>
      </c>
      <c r="BL2" s="106" t="s">
        <v>55</v>
      </c>
      <c r="BM2" s="107" t="s">
        <v>56</v>
      </c>
      <c r="BN2" s="109" t="s">
        <v>57</v>
      </c>
      <c r="BO2" s="109" t="s">
        <v>58</v>
      </c>
      <c r="BP2" s="109" t="s">
        <v>494</v>
      </c>
      <c r="BQ2" s="57" t="s">
        <v>59</v>
      </c>
      <c r="BR2" s="58" t="s">
        <v>60</v>
      </c>
      <c r="BS2" s="59" t="s">
        <v>61</v>
      </c>
      <c r="BT2" s="57" t="s">
        <v>62</v>
      </c>
      <c r="BU2" s="88" t="s">
        <v>493</v>
      </c>
      <c r="BV2" s="160" t="s">
        <v>63</v>
      </c>
      <c r="BW2" s="161" t="s">
        <v>64</v>
      </c>
      <c r="BX2" s="162" t="s">
        <v>65</v>
      </c>
      <c r="BY2" s="163" t="s">
        <v>66</v>
      </c>
      <c r="BZ2" s="163" t="s">
        <v>492</v>
      </c>
      <c r="CA2" s="65" t="s">
        <v>524</v>
      </c>
      <c r="CB2" s="89" t="s">
        <v>525</v>
      </c>
      <c r="CC2" s="90" t="s">
        <v>526</v>
      </c>
      <c r="CD2" s="147" t="s">
        <v>527</v>
      </c>
      <c r="CE2" s="91" t="s">
        <v>528</v>
      </c>
      <c r="CF2" s="106" t="s">
        <v>530</v>
      </c>
      <c r="CG2" s="107" t="s">
        <v>531</v>
      </c>
      <c r="CH2" s="108" t="s">
        <v>532</v>
      </c>
      <c r="CI2" s="106" t="s">
        <v>533</v>
      </c>
      <c r="CJ2" s="109" t="s">
        <v>534</v>
      </c>
      <c r="CK2" s="169" t="s">
        <v>537</v>
      </c>
      <c r="CL2" s="170" t="s">
        <v>538</v>
      </c>
      <c r="CM2" s="171" t="s">
        <v>539</v>
      </c>
      <c r="CN2" s="169" t="s">
        <v>541</v>
      </c>
      <c r="CO2" s="172" t="s">
        <v>540</v>
      </c>
      <c r="CP2" s="173" t="s">
        <v>543</v>
      </c>
      <c r="CQ2" s="174" t="s">
        <v>544</v>
      </c>
      <c r="CR2" s="175" t="s">
        <v>545</v>
      </c>
      <c r="CS2" s="173" t="s">
        <v>546</v>
      </c>
      <c r="CT2" s="176" t="s">
        <v>547</v>
      </c>
      <c r="CU2" s="177" t="s">
        <v>742</v>
      </c>
      <c r="CV2" s="177" t="s">
        <v>743</v>
      </c>
      <c r="CW2" s="177" t="s">
        <v>744</v>
      </c>
      <c r="CX2" s="177" t="s">
        <v>745</v>
      </c>
      <c r="CY2" s="177" t="s">
        <v>746</v>
      </c>
    </row>
    <row r="3" spans="1:103" x14ac:dyDescent="0.3">
      <c r="A3" s="143" t="s">
        <v>429</v>
      </c>
      <c r="B3" s="143">
        <f>IF(A3="","",_xlfn.XLOOKUP(A3,Tab_base[Nom + Prénom],Tab_base[Puce], ""))</f>
        <v>7590114</v>
      </c>
      <c r="C3" s="143" t="str">
        <f>IF(A3="","",_xlfn.XLOOKUP(A3,Tab_base[Nom + Prénom],Tab_base[Court],""))</f>
        <v>D65</v>
      </c>
      <c r="Y3" s="116"/>
      <c r="Z3" s="116"/>
      <c r="AA3" s="116"/>
      <c r="AB3" s="121"/>
      <c r="AD3" s="77"/>
      <c r="AE3" s="152"/>
      <c r="AF3" s="77"/>
      <c r="AG3" s="77"/>
      <c r="AI3" s="133"/>
      <c r="AK3" s="133"/>
      <c r="AL3" s="133"/>
      <c r="AP3" s="98"/>
      <c r="AQ3" s="99"/>
      <c r="AT3" s="73"/>
      <c r="AU3" s="74"/>
      <c r="AV3" s="74"/>
      <c r="BB3" s="43" t="s">
        <v>1097</v>
      </c>
      <c r="BD3" s="44" t="s">
        <v>1155</v>
      </c>
      <c r="BE3" s="77" t="s">
        <v>1154</v>
      </c>
      <c r="BF3" s="78" t="s">
        <v>1156</v>
      </c>
      <c r="CD3" s="166"/>
    </row>
    <row r="4" spans="1:103" x14ac:dyDescent="0.3">
      <c r="A4" s="143" t="s">
        <v>681</v>
      </c>
      <c r="B4" s="143">
        <f>IF(A4="","",_xlfn.XLOOKUP(A4,Tab_base[Nom + Prénom],Tab_base[Puce], ""))</f>
        <v>0</v>
      </c>
      <c r="C4" s="143">
        <f>IF(A4="","",_xlfn.XLOOKUP(A4,Tab_base[Nom + Prénom],Tab_base[Court],""))</f>
        <v>0</v>
      </c>
      <c r="F4" s="76"/>
      <c r="G4" s="77"/>
      <c r="H4" s="78"/>
      <c r="Y4" s="116"/>
      <c r="Z4" s="116"/>
      <c r="AA4" s="116"/>
      <c r="AB4" s="116"/>
      <c r="AD4" s="77"/>
      <c r="AE4" s="153"/>
      <c r="AF4" s="77"/>
      <c r="AG4" s="77"/>
      <c r="AI4" s="133"/>
      <c r="AK4" s="133"/>
      <c r="AL4" s="133"/>
      <c r="AP4" s="98"/>
      <c r="AQ4" s="99"/>
      <c r="AT4" s="73"/>
      <c r="AU4" s="74"/>
      <c r="AV4" s="74"/>
      <c r="AY4" s="76"/>
      <c r="AZ4" s="156"/>
      <c r="BA4" s="78"/>
      <c r="BL4" s="106" t="s">
        <v>1081</v>
      </c>
    </row>
    <row r="5" spans="1:103" x14ac:dyDescent="0.3">
      <c r="A5" s="143" t="s">
        <v>1080</v>
      </c>
      <c r="B5" s="143">
        <f>IF(A5="","",_xlfn.XLOOKUP(A5,Tab_base[Nom + Prénom],Tab_base[Puce], ""))</f>
        <v>0</v>
      </c>
      <c r="C5" s="143">
        <f>IF(A5="","",_xlfn.XLOOKUP(A5,Tab_base[Nom + Prénom],Tab_base[Court],""))</f>
        <v>0</v>
      </c>
      <c r="F5" s="76"/>
      <c r="G5" s="77"/>
      <c r="H5" s="78"/>
      <c r="Y5" s="151"/>
      <c r="Z5" s="116"/>
      <c r="AA5" s="116"/>
      <c r="AB5" s="116"/>
    </row>
    <row r="6" spans="1:103" x14ac:dyDescent="0.3">
      <c r="A6" s="143" t="s">
        <v>236</v>
      </c>
      <c r="B6" s="143">
        <f>IF(A6="","",_xlfn.XLOOKUP(A6,Tab_base[Nom + Prénom],Tab_base[Puce], ""))</f>
        <v>8171016</v>
      </c>
      <c r="C6" s="143" t="str">
        <f>IF(A6="","",_xlfn.XLOOKUP(A6,Tab_base[Nom + Prénom],Tab_base[Court],""))</f>
        <v>D20</v>
      </c>
      <c r="BB6" s="43" t="s">
        <v>1096</v>
      </c>
      <c r="BD6" s="44" t="s">
        <v>1147</v>
      </c>
      <c r="BI6" s="74"/>
      <c r="BJ6" s="74"/>
      <c r="BK6" s="74"/>
      <c r="CD6" s="166"/>
    </row>
    <row r="7" spans="1:103" x14ac:dyDescent="0.3">
      <c r="A7" s="143" t="s">
        <v>311</v>
      </c>
      <c r="B7" s="143">
        <f>IF(A7="","",_xlfn.XLOOKUP(A7,Tab_base[Nom + Prénom],Tab_base[Puce], ""))</f>
        <v>8547726</v>
      </c>
      <c r="C7" s="143" t="str">
        <f>IF(A7="","",_xlfn.XLOOKUP(A7,Tab_base[Nom + Prénom],Tab_base[Court],""))</f>
        <v>H65</v>
      </c>
      <c r="F7" s="76"/>
      <c r="G7" s="77"/>
      <c r="H7" s="78"/>
      <c r="AD7" s="77"/>
      <c r="AE7" s="153"/>
      <c r="AF7" s="77"/>
      <c r="AG7" s="77"/>
      <c r="AI7" s="133"/>
      <c r="AK7" s="133"/>
      <c r="AL7" s="133"/>
      <c r="AM7" s="96" t="s">
        <v>1074</v>
      </c>
      <c r="AO7" s="127">
        <v>5.4178240740740735E-2</v>
      </c>
      <c r="AP7" s="96" t="s">
        <v>1089</v>
      </c>
      <c r="AQ7" s="97" t="s">
        <v>1083</v>
      </c>
      <c r="AR7" s="49" t="s">
        <v>1074</v>
      </c>
      <c r="AT7" s="51">
        <v>5.8854166666666673E-2</v>
      </c>
      <c r="AU7" s="74" t="s">
        <v>1091</v>
      </c>
      <c r="AV7" s="74" t="s">
        <v>826</v>
      </c>
      <c r="AW7" s="43" t="s">
        <v>1076</v>
      </c>
      <c r="AY7" s="42">
        <v>3.0486111111111113E-2</v>
      </c>
      <c r="AZ7" s="44" t="s">
        <v>1139</v>
      </c>
      <c r="BA7" s="44" t="s">
        <v>1140</v>
      </c>
      <c r="BB7" s="43" t="s">
        <v>1095</v>
      </c>
      <c r="BD7" s="44" t="s">
        <v>1143</v>
      </c>
      <c r="BE7" s="77" t="s">
        <v>1149</v>
      </c>
      <c r="BF7" s="78" t="s">
        <v>1144</v>
      </c>
      <c r="BL7" s="106" t="s">
        <v>683</v>
      </c>
      <c r="BM7" s="107">
        <v>0.36458333333333331</v>
      </c>
      <c r="BQ7" s="57" t="s">
        <v>74</v>
      </c>
      <c r="CD7" s="166"/>
    </row>
    <row r="8" spans="1:103" x14ac:dyDescent="0.3">
      <c r="A8" s="143" t="s">
        <v>328</v>
      </c>
      <c r="B8" s="143">
        <f>IF(A8="","",_xlfn.XLOOKUP(A8,Tab_base[Nom + Prénom],Tab_base[Puce], ""))</f>
        <v>8005961</v>
      </c>
      <c r="C8" s="143" t="str">
        <f>IF(A8="","",_xlfn.XLOOKUP(A8,Tab_base[Nom + Prénom],Tab_base[Court],""))</f>
        <v>H65</v>
      </c>
      <c r="F8" s="76"/>
      <c r="G8" s="77"/>
      <c r="H8" s="78"/>
      <c r="AD8" s="77"/>
      <c r="AE8" s="153"/>
      <c r="AF8" s="77"/>
      <c r="AG8" s="77"/>
      <c r="AI8" s="133"/>
      <c r="AK8" s="133"/>
      <c r="AL8" s="133"/>
      <c r="BB8" s="43" t="s">
        <v>1095</v>
      </c>
      <c r="BD8" s="44" t="s">
        <v>1146</v>
      </c>
      <c r="BE8" s="43" t="s">
        <v>1150</v>
      </c>
      <c r="BF8" s="44" t="s">
        <v>1145</v>
      </c>
      <c r="BL8" s="106" t="s">
        <v>682</v>
      </c>
      <c r="BQ8" s="57" t="s">
        <v>74</v>
      </c>
      <c r="CD8" s="166"/>
    </row>
    <row r="9" spans="1:103" x14ac:dyDescent="0.3">
      <c r="A9" s="143" t="s">
        <v>343</v>
      </c>
      <c r="B9" s="143">
        <f>IF(A9="","",_xlfn.XLOOKUP(A9,Tab_base[Nom + Prénom],Tab_base[Puce], ""))</f>
        <v>8546861</v>
      </c>
      <c r="C9" s="143" t="str">
        <f>IF(A9="","",_xlfn.XLOOKUP(A9,Tab_base[Nom + Prénom],Tab_base[Court],""))</f>
        <v>D50</v>
      </c>
      <c r="F9" s="76"/>
      <c r="G9" s="77"/>
      <c r="H9" s="78"/>
      <c r="AD9" s="77"/>
      <c r="AM9" s="96" t="s">
        <v>1075</v>
      </c>
      <c r="AO9" s="127">
        <v>2.9942129629629628E-2</v>
      </c>
      <c r="AP9" s="96" t="s">
        <v>1090</v>
      </c>
      <c r="AQ9" s="97" t="s">
        <v>1082</v>
      </c>
      <c r="AR9" s="49" t="s">
        <v>1075</v>
      </c>
      <c r="AT9" s="51">
        <v>3.4965277777777783E-2</v>
      </c>
      <c r="AU9" s="74" t="s">
        <v>1093</v>
      </c>
      <c r="AV9" s="74" t="s">
        <v>1092</v>
      </c>
      <c r="AW9" s="43" t="s">
        <v>1077</v>
      </c>
      <c r="AY9" s="42">
        <v>2.3298611111111107E-2</v>
      </c>
      <c r="AZ9" s="44" t="s">
        <v>1141</v>
      </c>
      <c r="BA9" s="44" t="s">
        <v>1142</v>
      </c>
      <c r="BB9" s="43" t="s">
        <v>1094</v>
      </c>
      <c r="BD9" s="44" t="s">
        <v>1151</v>
      </c>
      <c r="BE9" s="77" t="s">
        <v>1153</v>
      </c>
      <c r="BF9" s="78" t="s">
        <v>1152</v>
      </c>
      <c r="BL9" s="106" t="s">
        <v>684</v>
      </c>
      <c r="BQ9" s="57" t="s">
        <v>135</v>
      </c>
      <c r="CD9" s="166"/>
    </row>
    <row r="10" spans="1:103" x14ac:dyDescent="0.3">
      <c r="B10" s="143" t="str">
        <f>IF(A10="","",_xlfn.XLOOKUP(A10,Tab_base[Nom + Prénom],Tab_base[Puce], ""))</f>
        <v/>
      </c>
      <c r="C10" s="143" t="str">
        <f>IF(A10="","",_xlfn.XLOOKUP(A10,Tab_base[Nom + Prénom],Tab_base[Court],""))</f>
        <v/>
      </c>
      <c r="Y10" s="116"/>
    </row>
    <row r="11" spans="1:103" x14ac:dyDescent="0.3">
      <c r="B11" s="143" t="str">
        <f>IF(A11="","",_xlfn.XLOOKUP(A11,Tab_base[Nom + Prénom],Tab_base[Puce], ""))</f>
        <v/>
      </c>
      <c r="C11" s="143" t="str">
        <f>IF(A11="","",_xlfn.XLOOKUP(A11,Tab_base[Nom + Prénom],Tab_base[Court],""))</f>
        <v/>
      </c>
      <c r="AD11" s="77"/>
      <c r="AO11" s="154"/>
      <c r="AP11" s="98"/>
      <c r="AQ11" s="99"/>
      <c r="AT11" s="73"/>
      <c r="AU11" s="74"/>
      <c r="AV11" s="74"/>
    </row>
    <row r="12" spans="1:103" x14ac:dyDescent="0.3">
      <c r="B12" s="143" t="str">
        <f>IF(A12="","",_xlfn.XLOOKUP(A12,Tab_base[Nom + Prénom],Tab_base[Puce], ""))</f>
        <v/>
      </c>
      <c r="C12" s="143" t="str">
        <f>IF(A12="","",_xlfn.XLOOKUP(A12,Tab_base[Nom + Prénom],Tab_base[Court],""))</f>
        <v/>
      </c>
      <c r="AD12" s="77"/>
      <c r="AO12" s="154"/>
      <c r="AP12" s="98"/>
      <c r="AQ12" s="99"/>
      <c r="AT12" s="73"/>
      <c r="AU12" s="74"/>
      <c r="AV12" s="74"/>
    </row>
    <row r="13" spans="1:103" x14ac:dyDescent="0.3">
      <c r="B13" s="143" t="str">
        <f>IF(A13="","",_xlfn.XLOOKUP(A13,Tab_base[Nom + Prénom],Tab_base[Puce], ""))</f>
        <v/>
      </c>
      <c r="C13" s="143" t="str">
        <f>IF(A13="","",_xlfn.XLOOKUP(A13,Tab_base[Nom + Prénom],Tab_base[Court],""))</f>
        <v/>
      </c>
      <c r="AD13" s="77"/>
      <c r="AE13" s="153"/>
      <c r="AF13" s="77"/>
      <c r="AG13" s="77"/>
      <c r="AT13" s="73"/>
      <c r="AU13" s="74"/>
      <c r="AV13" s="74"/>
    </row>
    <row r="14" spans="1:103" x14ac:dyDescent="0.3">
      <c r="B14" s="143" t="str">
        <f>IF(A14="","",_xlfn.XLOOKUP(A14,Tab_base[Nom + Prénom],Tab_base[Puce], ""))</f>
        <v/>
      </c>
      <c r="C14" s="143" t="str">
        <f>IF(A14="","",_xlfn.XLOOKUP(A14,Tab_base[Nom + Prénom],Tab_base[Court],""))</f>
        <v/>
      </c>
      <c r="AD14" s="77"/>
      <c r="AE14" s="153"/>
      <c r="AF14" s="77"/>
      <c r="AG14" s="77"/>
      <c r="AT14" s="73"/>
      <c r="AU14" s="74"/>
      <c r="AV14" s="74"/>
    </row>
    <row r="15" spans="1:103" x14ac:dyDescent="0.3">
      <c r="B15" s="143" t="str">
        <f>IF(A15="","",_xlfn.XLOOKUP(A15,Tab_base[Nom + Prénom],Tab_base[Puce], ""))</f>
        <v/>
      </c>
      <c r="C15" s="143" t="str">
        <f>IF(A15="","",_xlfn.XLOOKUP(A15,Tab_base[Nom + Prénom],Tab_base[Court],""))</f>
        <v/>
      </c>
      <c r="Y15" s="116"/>
      <c r="Z15" s="151"/>
      <c r="AA15" s="116"/>
      <c r="AB15" s="116"/>
      <c r="AD15" s="77"/>
      <c r="AE15" s="153"/>
      <c r="AF15" s="77"/>
      <c r="AG15" s="77"/>
      <c r="AI15" s="133"/>
      <c r="AT15" s="73"/>
      <c r="AU15" s="74"/>
      <c r="AV15" s="74"/>
    </row>
    <row r="16" spans="1:103" x14ac:dyDescent="0.3">
      <c r="B16" s="143" t="str">
        <f>IF(A16="","",_xlfn.XLOOKUP(A16,Tab_base[Nom + Prénom],Tab_base[Puce], ""))</f>
        <v/>
      </c>
      <c r="C16" s="143" t="str">
        <f>IF(A16="","",_xlfn.XLOOKUP(A16,Tab_base[Nom + Prénom],Tab_base[Court],""))</f>
        <v/>
      </c>
      <c r="Y16" s="116"/>
      <c r="Z16" s="116"/>
      <c r="AA16" s="116"/>
      <c r="AB16" s="116"/>
      <c r="AD16" s="77"/>
      <c r="AE16" s="153"/>
      <c r="AF16" s="77"/>
      <c r="AG16" s="77"/>
      <c r="AI16" s="133"/>
      <c r="AK16" s="133"/>
      <c r="AL16" s="133"/>
    </row>
    <row r="17" spans="2:83" x14ac:dyDescent="0.3">
      <c r="B17" s="143" t="str">
        <f>IF(A17="","",_xlfn.XLOOKUP(A17,Tab_base[Nom + Prénom],Tab_base[Puce], ""))</f>
        <v/>
      </c>
      <c r="C17" s="143" t="str">
        <f>IF(A17="","",_xlfn.XLOOKUP(A17,Tab_base[Nom + Prénom],Tab_base[Court],""))</f>
        <v/>
      </c>
      <c r="Y17" s="116"/>
      <c r="Z17" s="116"/>
      <c r="AA17" s="116"/>
      <c r="AB17" s="116"/>
      <c r="AD17" s="77"/>
      <c r="AE17" s="153"/>
      <c r="AF17" s="77"/>
      <c r="AG17" s="77"/>
    </row>
    <row r="18" spans="2:83" x14ac:dyDescent="0.3">
      <c r="B18" s="143" t="str">
        <f>IF(A18="","",_xlfn.XLOOKUP(A18,Tab_base[Nom + Prénom],Tab_base[Puce], ""))</f>
        <v/>
      </c>
      <c r="C18" s="143" t="str">
        <f>IF(A18="","",_xlfn.XLOOKUP(A18,Tab_base[Nom + Prénom],Tab_base[Court],""))</f>
        <v/>
      </c>
      <c r="F18" s="76"/>
      <c r="G18" s="77"/>
      <c r="H18" s="78"/>
      <c r="Y18" s="116"/>
      <c r="Z18" s="116"/>
      <c r="AA18" s="116"/>
      <c r="AB18" s="116"/>
      <c r="AI18" s="133"/>
      <c r="AK18" s="133"/>
      <c r="AL18" s="133"/>
    </row>
    <row r="19" spans="2:83" x14ac:dyDescent="0.3">
      <c r="B19" s="143" t="str">
        <f>IF(A19="","",_xlfn.XLOOKUP(A19,Tab_base[Nom + Prénom],Tab_base[Puce], ""))</f>
        <v/>
      </c>
      <c r="C19" s="143" t="str">
        <f>IF(A19="","",_xlfn.XLOOKUP(A19,Tab_base[Nom + Prénom],Tab_base[Court],""))</f>
        <v/>
      </c>
      <c r="F19" s="76"/>
      <c r="G19" s="77"/>
      <c r="H19" s="78"/>
      <c r="Y19" s="116"/>
      <c r="AI19" s="133"/>
      <c r="AK19" s="133"/>
      <c r="AL19" s="133"/>
    </row>
    <row r="20" spans="2:83" x14ac:dyDescent="0.3">
      <c r="B20" s="143" t="str">
        <f>IF(A20="","",_xlfn.XLOOKUP(A20,Tab_base[Nom + Prénom],Tab_base[Puce], ""))</f>
        <v/>
      </c>
      <c r="C20" s="143" t="str">
        <f>IF(A20="","",_xlfn.XLOOKUP(A20,Tab_base[Nom + Prénom],Tab_base[Court],""))</f>
        <v/>
      </c>
      <c r="Y20" s="116"/>
      <c r="Z20" s="116"/>
      <c r="AA20" s="116"/>
      <c r="AB20" s="116"/>
      <c r="AD20" s="77"/>
      <c r="AE20" s="153"/>
      <c r="AF20" s="77"/>
      <c r="AG20" s="77"/>
      <c r="AI20" s="133"/>
      <c r="AK20" s="133"/>
      <c r="AL20" s="133"/>
      <c r="AO20" s="154"/>
      <c r="AP20" s="155"/>
      <c r="AQ20" s="99"/>
      <c r="AT20" s="73"/>
      <c r="AU20" s="74"/>
      <c r="AV20" s="74"/>
      <c r="BN20" s="111"/>
      <c r="BO20" s="111"/>
      <c r="BP20" s="111"/>
      <c r="BS20" s="87"/>
      <c r="BT20" s="68"/>
      <c r="BU20" s="88"/>
    </row>
    <row r="21" spans="2:83" x14ac:dyDescent="0.3">
      <c r="B21" s="143" t="str">
        <f>IF(A21="","",_xlfn.XLOOKUP(A21,Tab_base[Nom + Prénom],Tab_base[Puce], ""))</f>
        <v/>
      </c>
      <c r="C21" s="143" t="str">
        <f>IF(A21="","",_xlfn.XLOOKUP(A21,Tab_base[Nom + Prénom],Tab_base[Court],""))</f>
        <v/>
      </c>
      <c r="F21" s="76"/>
      <c r="G21" s="77"/>
      <c r="H21" s="78"/>
      <c r="Y21" s="116"/>
      <c r="Z21" s="116"/>
      <c r="AA21" s="116"/>
      <c r="AB21" s="116"/>
      <c r="AD21" s="77"/>
      <c r="AE21" s="153"/>
      <c r="AF21" s="77"/>
      <c r="AG21" s="77"/>
      <c r="AI21" s="133"/>
      <c r="AK21" s="133"/>
      <c r="AL21" s="133"/>
      <c r="AO21" s="154"/>
      <c r="AP21" s="98"/>
      <c r="AQ21" s="99"/>
      <c r="AT21" s="73"/>
      <c r="AU21" s="74"/>
      <c r="AV21" s="74"/>
      <c r="BN21" s="111"/>
      <c r="BO21" s="111"/>
      <c r="BP21" s="111"/>
      <c r="BS21" s="87"/>
      <c r="BT21" s="158"/>
      <c r="BU21" s="88"/>
      <c r="CD21" s="166"/>
    </row>
    <row r="22" spans="2:83" x14ac:dyDescent="0.3">
      <c r="B22" s="143" t="str">
        <f>IF(A22="","",_xlfn.XLOOKUP(A22,Tab_base[Nom + Prénom],Tab_base[Puce], ""))</f>
        <v/>
      </c>
      <c r="C22" s="143" t="str">
        <f>IF(A22="","",_xlfn.XLOOKUP(A22,Tab_base[Nom + Prénom],Tab_base[Court],""))</f>
        <v/>
      </c>
      <c r="Y22" s="116"/>
      <c r="Z22" s="116"/>
      <c r="AA22" s="116"/>
      <c r="AB22" s="116"/>
      <c r="AO22" s="154"/>
      <c r="AP22" s="98"/>
      <c r="AQ22" s="99"/>
      <c r="AT22" s="73"/>
      <c r="AU22" s="74"/>
      <c r="AV22" s="74"/>
      <c r="BN22" s="111"/>
      <c r="BO22" s="111"/>
      <c r="BP22" s="111"/>
      <c r="BS22" s="87"/>
      <c r="BT22" s="158"/>
      <c r="BU22" s="88"/>
      <c r="CD22" s="166"/>
    </row>
    <row r="23" spans="2:83" x14ac:dyDescent="0.3">
      <c r="B23" s="143" t="str">
        <f>IF(A23="","",_xlfn.XLOOKUP(A23,Tab_base[Nom + Prénom],Tab_base[Puce], ""))</f>
        <v/>
      </c>
      <c r="C23" s="143" t="str">
        <f>IF(A23="","",_xlfn.XLOOKUP(A23,Tab_base[Nom + Prénom],Tab_base[Court],""))</f>
        <v/>
      </c>
      <c r="Y23" s="116"/>
      <c r="Z23" s="116"/>
      <c r="AA23" s="116"/>
      <c r="AB23" s="116"/>
      <c r="AO23" s="154"/>
      <c r="AP23" s="98"/>
      <c r="AQ23" s="99"/>
      <c r="AT23" s="73"/>
      <c r="AU23" s="74"/>
      <c r="AV23" s="74"/>
      <c r="BN23" s="111"/>
      <c r="BO23" s="111"/>
      <c r="BP23" s="111"/>
      <c r="BS23" s="87"/>
      <c r="BT23" s="158"/>
      <c r="BU23" s="88"/>
      <c r="CD23" s="166"/>
    </row>
    <row r="24" spans="2:83" x14ac:dyDescent="0.3">
      <c r="B24" s="143" t="str">
        <f>IF(A24="","",_xlfn.XLOOKUP(A24,Tab_base[Nom + Prénom],Tab_base[Puce], ""))</f>
        <v/>
      </c>
      <c r="C24" s="143" t="str">
        <f>IF(A24="","",_xlfn.XLOOKUP(A24,Tab_base[Nom + Prénom],Tab_base[Court],""))</f>
        <v/>
      </c>
      <c r="J24" s="146"/>
      <c r="K24" s="92"/>
      <c r="L24" s="147"/>
      <c r="M24" s="94"/>
      <c r="O24" s="148"/>
      <c r="P24" s="149"/>
      <c r="Q24" s="150"/>
      <c r="R24" s="133"/>
      <c r="BT24" s="159"/>
      <c r="BX24" s="164"/>
      <c r="BY24" s="165"/>
      <c r="BZ24" s="165"/>
      <c r="CD24" s="167"/>
    </row>
    <row r="25" spans="2:83" x14ac:dyDescent="0.3">
      <c r="B25" s="143" t="str">
        <f>IF(A25="","",_xlfn.XLOOKUP(A25,Tab_base[Nom + Prénom],Tab_base[Puce], ""))</f>
        <v/>
      </c>
      <c r="C25" s="143" t="str">
        <f>IF(A25="","",_xlfn.XLOOKUP(A25,Tab_base[Nom + Prénom],Tab_base[Court],""))</f>
        <v/>
      </c>
      <c r="J25" s="146"/>
      <c r="K25" s="92"/>
      <c r="L25" s="147"/>
      <c r="M25" s="94"/>
      <c r="O25" s="148"/>
      <c r="P25" s="149"/>
      <c r="Q25" s="150"/>
      <c r="R25" s="133"/>
      <c r="AD25" s="77"/>
      <c r="AE25" s="153"/>
      <c r="AF25" s="77"/>
      <c r="AG25" s="77"/>
      <c r="AI25" s="133"/>
      <c r="AK25" s="133"/>
      <c r="AL25" s="133"/>
      <c r="BT25" s="159"/>
      <c r="BX25" s="164"/>
      <c r="BY25" s="165"/>
      <c r="BZ25" s="165"/>
      <c r="CD25" s="167"/>
    </row>
    <row r="26" spans="2:83" x14ac:dyDescent="0.3">
      <c r="B26" s="143" t="str">
        <f>IF(A26="","",_xlfn.XLOOKUP(A26,Tab_base[Nom + Prénom],Tab_base[Puce], ""))</f>
        <v/>
      </c>
      <c r="C26" s="143" t="str">
        <f>IF(A26="","",_xlfn.XLOOKUP(A26,Tab_base[Nom + Prénom],Tab_base[Court],""))</f>
        <v/>
      </c>
      <c r="F26" s="76"/>
      <c r="G26" s="77"/>
      <c r="H26" s="78"/>
      <c r="Y26" s="116"/>
      <c r="BT26" s="159"/>
      <c r="CC26" s="92"/>
      <c r="CD26" s="168"/>
      <c r="CE26" s="94"/>
    </row>
    <row r="27" spans="2:83" x14ac:dyDescent="0.3">
      <c r="B27" s="143" t="str">
        <f>IF(A27="","",_xlfn.XLOOKUP(A27,Tab_base[Nom + Prénom],Tab_base[Puce], ""))</f>
        <v/>
      </c>
      <c r="C27" s="143" t="str">
        <f>IF(A27="","",_xlfn.XLOOKUP(A27,Tab_base[Nom + Prénom],Tab_base[Court],""))</f>
        <v/>
      </c>
      <c r="F27" s="76"/>
      <c r="G27" s="77"/>
      <c r="H27" s="78"/>
      <c r="Y27" s="116"/>
      <c r="Z27" s="116"/>
      <c r="AA27" s="116"/>
      <c r="AB27" s="119"/>
      <c r="AD27" s="77"/>
      <c r="AE27" s="153"/>
      <c r="AF27" s="77"/>
      <c r="AG27" s="77"/>
      <c r="AI27" s="133"/>
      <c r="AK27" s="133"/>
      <c r="AL27" s="133"/>
      <c r="CC27" s="92"/>
      <c r="CD27" s="147"/>
      <c r="CE27" s="94"/>
    </row>
    <row r="28" spans="2:83" x14ac:dyDescent="0.3">
      <c r="B28" s="143" t="str">
        <f>IF(A28="","",_xlfn.XLOOKUP(A28,Tab_base[Nom + Prénom],Tab_base[Puce], ""))</f>
        <v/>
      </c>
      <c r="C28" s="143" t="str">
        <f>IF(A28="","",_xlfn.XLOOKUP(A28,Tab_base[Nom + Prénom],Tab_base[Court],""))</f>
        <v/>
      </c>
      <c r="F28" s="76"/>
      <c r="G28" s="77"/>
      <c r="H28" s="78"/>
      <c r="AD28" s="77"/>
      <c r="AE28" s="153"/>
      <c r="AF28" s="77"/>
      <c r="AG28" s="77"/>
    </row>
    <row r="29" spans="2:83" x14ac:dyDescent="0.3">
      <c r="B29" s="143" t="str">
        <f>IF(A29="","",_xlfn.XLOOKUP(A29,Tab_base[Nom + Prénom],Tab_base[Puce], ""))</f>
        <v/>
      </c>
      <c r="C29" s="143" t="str">
        <f>IF(A29="","",_xlfn.XLOOKUP(A29,Tab_base[Nom + Prénom],Tab_base[Court],""))</f>
        <v/>
      </c>
      <c r="CC29" s="92"/>
      <c r="CD29" s="147"/>
      <c r="CE29" s="94"/>
    </row>
    <row r="30" spans="2:83" x14ac:dyDescent="0.3">
      <c r="B30" s="143" t="str">
        <f>IF(A30="","",_xlfn.XLOOKUP(A30,Tab_base[Nom + Prénom],Tab_base[Puce], ""))</f>
        <v/>
      </c>
      <c r="C30" s="143" t="str">
        <f>IF(A30="","",_xlfn.XLOOKUP(A30,Tab_base[Nom + Prénom],Tab_base[Court],""))</f>
        <v/>
      </c>
      <c r="AT30" s="73"/>
      <c r="AU30" s="74"/>
      <c r="AV30" s="74"/>
      <c r="AY30" s="76"/>
      <c r="AZ30" s="78"/>
      <c r="BA30" s="78"/>
      <c r="BN30" s="111"/>
      <c r="BO30" s="111"/>
      <c r="BP30" s="111"/>
      <c r="BS30" s="87"/>
      <c r="BT30" s="68"/>
      <c r="BU30" s="88"/>
      <c r="CC30" s="92"/>
      <c r="CD30" s="147"/>
      <c r="CE30" s="94"/>
    </row>
    <row r="31" spans="2:83" x14ac:dyDescent="0.3">
      <c r="B31" s="143" t="str">
        <f>IF(A31="","",_xlfn.XLOOKUP(A31,Tab_base[Nom + Prénom],Tab_base[Puce], ""))</f>
        <v/>
      </c>
      <c r="C31" s="143" t="str">
        <f>IF(A31="","",_xlfn.XLOOKUP(A31,Tab_base[Nom + Prénom],Tab_base[Court],""))</f>
        <v/>
      </c>
      <c r="AY31" s="76"/>
      <c r="AZ31" s="78"/>
      <c r="BA31" s="78"/>
    </row>
    <row r="32" spans="2:83" x14ac:dyDescent="0.3">
      <c r="B32" s="143" t="str">
        <f>IF(A32="","",_xlfn.XLOOKUP(A32,Tab_base[Nom + Prénom],Tab_base[Puce], ""))</f>
        <v/>
      </c>
      <c r="C32" s="143" t="str">
        <f>IF(A32="","",_xlfn.XLOOKUP(A32,Tab_base[Nom + Prénom],Tab_base[Court],""))</f>
        <v/>
      </c>
      <c r="AD32" s="77"/>
      <c r="AE32" s="153"/>
      <c r="AF32" s="77"/>
      <c r="AG32" s="77"/>
      <c r="AY32" s="76"/>
      <c r="AZ32" s="78"/>
      <c r="BA32" s="78"/>
    </row>
    <row r="33" spans="1:98" x14ac:dyDescent="0.3">
      <c r="B33" s="143" t="str">
        <f>IF(A33="","",_xlfn.XLOOKUP(A33,Tab_base[Nom + Prénom],Tab_base[Puce], ""))</f>
        <v/>
      </c>
      <c r="C33" s="143" t="str">
        <f>IF(A33="","",_xlfn.XLOOKUP(A33,Tab_base[Nom + Prénom],Tab_base[Court],""))</f>
        <v/>
      </c>
      <c r="F33" s="76"/>
      <c r="G33" s="77"/>
      <c r="H33" s="78"/>
      <c r="J33" s="65"/>
      <c r="K33" s="65"/>
      <c r="M33" s="65"/>
      <c r="Y33" s="116"/>
      <c r="Z33" s="116"/>
      <c r="AA33" s="116"/>
      <c r="AB33" s="116"/>
      <c r="AD33" s="77"/>
      <c r="AE33" s="153"/>
      <c r="AF33" s="77"/>
      <c r="AG33" s="77"/>
      <c r="AI33" s="133"/>
      <c r="AL33" s="133"/>
      <c r="AN33" s="96"/>
      <c r="AO33" s="96"/>
      <c r="AQ33" s="96"/>
      <c r="AS33" s="49"/>
      <c r="AT33" s="73"/>
      <c r="AU33" s="74"/>
      <c r="AV33" s="74"/>
      <c r="AX33" s="43"/>
      <c r="AY33" s="152"/>
      <c r="AZ33" s="78"/>
      <c r="BA33" s="78"/>
      <c r="BD33" s="78"/>
      <c r="BE33" s="77"/>
      <c r="BF33" s="78"/>
      <c r="BI33" s="74"/>
      <c r="BJ33" s="74"/>
      <c r="BK33" s="74"/>
      <c r="BN33" s="111"/>
      <c r="BO33" s="111"/>
      <c r="BP33" s="111"/>
      <c r="BS33" s="87"/>
      <c r="BT33" s="68"/>
      <c r="BU33" s="88"/>
      <c r="CC33" s="92"/>
      <c r="CD33" s="147"/>
      <c r="CE33" s="94"/>
      <c r="CG33" s="106"/>
      <c r="CH33" s="106"/>
      <c r="CJ33" s="106"/>
      <c r="CL33" s="169"/>
      <c r="CM33" s="169"/>
      <c r="CO33" s="169"/>
      <c r="CQ33" s="173"/>
      <c r="CR33" s="173"/>
      <c r="CT33" s="173"/>
    </row>
    <row r="34" spans="1:98" x14ac:dyDescent="0.3">
      <c r="B34" s="143" t="str">
        <f>IF(A34="","",_xlfn.XLOOKUP(A34,Tab_base[Nom + Prénom],Tab_base[Puce], ""))</f>
        <v/>
      </c>
      <c r="C34" s="143" t="str">
        <f>IF(A34="","",_xlfn.XLOOKUP(A34,Tab_base[Nom + Prénom],Tab_base[Court],""))</f>
        <v/>
      </c>
      <c r="F34" s="76"/>
      <c r="G34" s="77"/>
      <c r="H34" s="78"/>
      <c r="J34" s="65"/>
      <c r="K34" s="65"/>
      <c r="M34" s="65"/>
      <c r="Y34" s="116"/>
      <c r="Z34" s="116"/>
      <c r="AA34" s="116"/>
      <c r="AB34" s="116"/>
      <c r="BF34" s="78"/>
    </row>
    <row r="35" spans="1:98" x14ac:dyDescent="0.3">
      <c r="B35" s="143" t="str">
        <f>IF(A35="","",_xlfn.XLOOKUP(A35,Tab_base[Nom + Prénom],Tab_base[Puce], ""))</f>
        <v/>
      </c>
      <c r="C35" s="143" t="str">
        <f>IF(A35="","",_xlfn.XLOOKUP(A35,Tab_base[Nom + Prénom],Tab_base[Court],""))</f>
        <v/>
      </c>
      <c r="Y35" s="116"/>
      <c r="Z35" s="116"/>
      <c r="AA35" s="116"/>
      <c r="AB35" s="116"/>
      <c r="BF35" s="78"/>
    </row>
    <row r="36" spans="1:98" x14ac:dyDescent="0.3">
      <c r="B36" s="143" t="str">
        <f>IF(A36="","",_xlfn.XLOOKUP(A36,Tab_base[Nom + Prénom],Tab_base[Puce], ""))</f>
        <v/>
      </c>
      <c r="C36" s="143" t="str">
        <f>IF(A36="","",_xlfn.XLOOKUP(A36,Tab_base[Nom + Prénom],Tab_base[Court],""))</f>
        <v/>
      </c>
      <c r="F36" s="76"/>
      <c r="G36" s="77"/>
      <c r="H36" s="78"/>
      <c r="Y36" s="116"/>
      <c r="Z36" s="116"/>
      <c r="AA36" s="116"/>
      <c r="AB36" s="116"/>
      <c r="BF36" s="78"/>
    </row>
    <row r="37" spans="1:98" x14ac:dyDescent="0.3">
      <c r="B37" s="143" t="str">
        <f>IF(A37="","",_xlfn.XLOOKUP(A37,Tab_base[Nom + Prénom],Tab_base[Puce], ""))</f>
        <v/>
      </c>
      <c r="C37" s="143" t="str">
        <f>IF(A37="","",_xlfn.XLOOKUP(A37,Tab_base[Nom + Prénom],Tab_base[Court],""))</f>
        <v/>
      </c>
      <c r="Y37" s="116"/>
      <c r="Z37" s="116"/>
      <c r="AA37" s="116"/>
      <c r="AB37" s="116"/>
      <c r="AD37" s="77"/>
      <c r="AI37" s="133"/>
      <c r="AK37" s="133"/>
      <c r="AL37" s="133"/>
      <c r="CC37" s="92"/>
      <c r="CD37" s="147"/>
      <c r="CE37" s="94"/>
    </row>
    <row r="38" spans="1:98" x14ac:dyDescent="0.3">
      <c r="B38" s="143" t="str">
        <f>IF(A38="","",_xlfn.XLOOKUP(A38,Tab_base[Nom + Prénom],Tab_base[Puce], ""))</f>
        <v/>
      </c>
      <c r="C38" s="143" t="str">
        <f>IF(A38="","",_xlfn.XLOOKUP(A38,Tab_base[Nom + Prénom],Tab_base[Court],""))</f>
        <v/>
      </c>
      <c r="E38" s="43"/>
      <c r="F38" s="77"/>
      <c r="G38" s="77"/>
      <c r="H38" s="77"/>
      <c r="J38" s="65"/>
      <c r="K38" s="65"/>
      <c r="M38" s="65"/>
      <c r="O38" s="54"/>
      <c r="P38" s="54"/>
      <c r="R38" s="54"/>
      <c r="AH38" s="54"/>
      <c r="AI38" s="54"/>
      <c r="AJ38" s="54"/>
      <c r="AN38" s="96"/>
      <c r="AO38" s="96"/>
      <c r="AQ38" s="96"/>
      <c r="AS38" s="49"/>
      <c r="AT38" s="49"/>
      <c r="AX38" s="43"/>
      <c r="AY38" s="43"/>
      <c r="CG38" s="106"/>
      <c r="CH38" s="106"/>
      <c r="CJ38" s="106"/>
      <c r="CL38" s="169"/>
      <c r="CM38" s="169"/>
      <c r="CO38" s="169"/>
      <c r="CQ38" s="173"/>
      <c r="CR38" s="173"/>
      <c r="CT38" s="173"/>
    </row>
    <row r="39" spans="1:98" x14ac:dyDescent="0.3">
      <c r="B39" s="143" t="str">
        <f>IF(A39="","",_xlfn.XLOOKUP(A39,Tab_base[Nom + Prénom],Tab_base[Puce], ""))</f>
        <v/>
      </c>
      <c r="C39" s="143" t="str">
        <f>IF(A39="","",_xlfn.XLOOKUP(A39,Tab_base[Nom + Prénom],Tab_base[Court],""))</f>
        <v/>
      </c>
      <c r="Y39" s="116"/>
      <c r="Z39" s="116"/>
      <c r="AB39" s="116"/>
    </row>
    <row r="42" spans="1:98" x14ac:dyDescent="0.3">
      <c r="B42" s="143" t="str">
        <f>IF(A42="","",_xlfn.XLOOKUP(A42,Tab_base[Nom + Prénom],Tab_base[Puce], ""))</f>
        <v/>
      </c>
      <c r="C42" s="143" t="str">
        <f>IF(A42="","",_xlfn.XLOOKUP(A42,Tab_base[Nom + Prénom],Tab_base[Court],""))</f>
        <v/>
      </c>
      <c r="BB42" s="43" t="s">
        <v>1078</v>
      </c>
      <c r="BD42" s="78"/>
      <c r="BE42" s="77"/>
      <c r="BI42" s="74"/>
      <c r="BJ42" s="74"/>
      <c r="BK42" s="74"/>
      <c r="BS42" s="87"/>
      <c r="BT42" s="68"/>
      <c r="BU42" s="88"/>
      <c r="CC42" s="92"/>
      <c r="CD42" s="147"/>
      <c r="CE42" s="94"/>
    </row>
    <row r="43" spans="1:98" x14ac:dyDescent="0.3">
      <c r="BD43" s="78"/>
      <c r="BE43" s="157"/>
      <c r="BI43" s="74"/>
      <c r="BJ43" s="74"/>
      <c r="BK43" s="74"/>
    </row>
    <row r="44" spans="1:98" x14ac:dyDescent="0.3">
      <c r="BI44" s="74"/>
      <c r="BJ44" s="74"/>
      <c r="BK44" s="74"/>
    </row>
    <row r="45" spans="1:98" x14ac:dyDescent="0.3">
      <c r="A45" s="145"/>
    </row>
    <row r="46" spans="1:98" x14ac:dyDescent="0.3">
      <c r="B46" s="143" t="str">
        <f>IF(A46="","",_xlfn.XLOOKUP(A46,Tab_base[Nom + Prénom],Tab_base[Puce], ""))</f>
        <v/>
      </c>
      <c r="C46" s="143" t="str">
        <f>IF(A46="","",_xlfn.XLOOKUP(A46,Tab_base[Nom + Prénom],Tab_base[Court],""))</f>
        <v/>
      </c>
    </row>
    <row r="47" spans="1:98" x14ac:dyDescent="0.3">
      <c r="B47" s="143" t="str">
        <f>IF(A47="","",_xlfn.XLOOKUP(A47,Tab_base[Nom + Prénom],Tab_base[Puce], ""))</f>
        <v/>
      </c>
      <c r="C47" s="143" t="str">
        <f>IF(A47="","",_xlfn.XLOOKUP(A47,Tab_base[Nom + Prénom],Tab_base[Court],""))</f>
        <v/>
      </c>
    </row>
    <row r="48" spans="1:98" ht="13.2" customHeight="1" x14ac:dyDescent="0.3">
      <c r="B48" s="143" t="str">
        <f>IF(A48="","",_xlfn.XLOOKUP(A48,Tab_base[Nom + Prénom],Tab_base[Puce], ""))</f>
        <v/>
      </c>
      <c r="C48" s="143" t="str">
        <f>IF(A48="","",_xlfn.XLOOKUP(A48,Tab_base[Nom + Prénom],Tab_base[Court],""))</f>
        <v/>
      </c>
    </row>
    <row r="49" spans="2:3" x14ac:dyDescent="0.3">
      <c r="B49" s="143" t="str">
        <f>IF(A49="","",_xlfn.XLOOKUP(A49,Tab_base[Nom + Prénom],Tab_base[Puce], ""))</f>
        <v/>
      </c>
      <c r="C49" s="143" t="str">
        <f>IF(A49="","",_xlfn.XLOOKUP(A49,Tab_base[Nom + Prénom],Tab_base[Court],""))</f>
        <v/>
      </c>
    </row>
    <row r="50" spans="2:3" x14ac:dyDescent="0.3">
      <c r="B50" s="143" t="str">
        <f>IF(A50="","",_xlfn.XLOOKUP(A50,Tab_base[Nom + Prénom],Tab_base[Puce], ""))</f>
        <v/>
      </c>
      <c r="C50" s="143" t="str">
        <f>IF(A50="","",_xlfn.XLOOKUP(A50,Tab_base[Nom + Prénom],Tab_base[Court],""))</f>
        <v/>
      </c>
    </row>
    <row r="51" spans="2:3" x14ac:dyDescent="0.3">
      <c r="B51" s="143" t="str">
        <f>IF(A51="","",_xlfn.XLOOKUP(A51,Tab_base[Nom + Prénom],Tab_base[Puce], ""))</f>
        <v/>
      </c>
      <c r="C51" s="143" t="str">
        <f>IF(A51="","",_xlfn.XLOOKUP(A51,Tab_base[Nom + Prénom],Tab_base[Court],""))</f>
        <v/>
      </c>
    </row>
    <row r="52" spans="2:3" x14ac:dyDescent="0.3">
      <c r="B52" s="143" t="str">
        <f>IF(A52="","",_xlfn.XLOOKUP(A52,Tab_base[Nom + Prénom],Tab_base[Puce], ""))</f>
        <v/>
      </c>
      <c r="C52" s="143" t="str">
        <f>IF(A52="","",_xlfn.XLOOKUP(A52,Tab_base[Nom + Prénom],Tab_base[Court],""))</f>
        <v/>
      </c>
    </row>
    <row r="53" spans="2:3" x14ac:dyDescent="0.3">
      <c r="B53" s="143" t="str">
        <f>IF(A53="","",_xlfn.XLOOKUP(A53,Tab_base[Nom + Prénom],Tab_base[Puce], ""))</f>
        <v/>
      </c>
      <c r="C53" s="143" t="str">
        <f>IF(A53="","",_xlfn.XLOOKUP(A53,Tab_base[Nom + Prénom],Tab_base[Court],""))</f>
        <v/>
      </c>
    </row>
    <row r="54" spans="2:3" x14ac:dyDescent="0.3">
      <c r="B54" s="143" t="str">
        <f>IF(A54="","",_xlfn.XLOOKUP(A54,Tab_base[Nom + Prénom],Tab_base[Puce], ""))</f>
        <v/>
      </c>
      <c r="C54" s="143" t="str">
        <f>IF(A54="","",_xlfn.XLOOKUP(A54,Tab_base[Nom + Prénom],Tab_base[Court],""))</f>
        <v/>
      </c>
    </row>
    <row r="55" spans="2:3" x14ac:dyDescent="0.3">
      <c r="B55" s="143" t="str">
        <f>IF(A55="","",_xlfn.XLOOKUP(A55,Tab_base[Nom + Prénom],Tab_base[Puce], ""))</f>
        <v/>
      </c>
      <c r="C55" s="143" t="str">
        <f>IF(A55="","",_xlfn.XLOOKUP(A55,Tab_base[Nom + Prénom],Tab_base[Court],""))</f>
        <v/>
      </c>
    </row>
    <row r="56" spans="2:3" x14ac:dyDescent="0.3">
      <c r="B56" s="143" t="str">
        <f>IF(A56="","",_xlfn.XLOOKUP(A56,Tab_base[Nom + Prénom],Tab_base[Puce], ""))</f>
        <v/>
      </c>
      <c r="C56" s="143" t="str">
        <f>IF(A56="","",_xlfn.XLOOKUP(A56,Tab_base[Nom + Prénom],Tab_base[Court],""))</f>
        <v/>
      </c>
    </row>
    <row r="57" spans="2:3" x14ac:dyDescent="0.3">
      <c r="B57" s="143" t="str">
        <f>IF(A57="","",_xlfn.XLOOKUP(A57,Tab_base[Nom + Prénom],Tab_base[Puce], ""))</f>
        <v/>
      </c>
      <c r="C57" s="143" t="str">
        <f>IF(A57="","",_xlfn.XLOOKUP(A57,Tab_base[Nom + Prénom],Tab_base[Court],""))</f>
        <v/>
      </c>
    </row>
    <row r="58" spans="2:3" x14ac:dyDescent="0.3">
      <c r="B58" s="143" t="str">
        <f>IF(A58="","",_xlfn.XLOOKUP(A58,Tab_base[Nom + Prénom],Tab_base[Puce], ""))</f>
        <v/>
      </c>
      <c r="C58" s="143" t="str">
        <f>IF(A58="","",_xlfn.XLOOKUP(A58,Tab_base[Nom + Prénom],Tab_base[Court],""))</f>
        <v/>
      </c>
    </row>
    <row r="59" spans="2:3" x14ac:dyDescent="0.3">
      <c r="B59" s="143" t="str">
        <f>IF(A59="","",_xlfn.XLOOKUP(A59,Tab_base[Nom + Prénom],Tab_base[Puce], ""))</f>
        <v/>
      </c>
      <c r="C59" s="143" t="str">
        <f>IF(A59="","",_xlfn.XLOOKUP(A59,Tab_base[Nom + Prénom],Tab_base[Court],""))</f>
        <v/>
      </c>
    </row>
    <row r="60" spans="2:3" x14ac:dyDescent="0.3">
      <c r="B60" s="143" t="str">
        <f>IF(A60="","",_xlfn.XLOOKUP(A60,Tab_base[Nom + Prénom],Tab_base[Puce], ""))</f>
        <v/>
      </c>
      <c r="C60" s="143" t="str">
        <f>IF(A60="","",_xlfn.XLOOKUP(A60,Tab_base[Nom + Prénom],Tab_base[Court],""))</f>
        <v/>
      </c>
    </row>
    <row r="61" spans="2:3" x14ac:dyDescent="0.3">
      <c r="B61" s="143" t="str">
        <f>IF(A61="","",_xlfn.XLOOKUP(A61,Tab_base[Nom + Prénom],Tab_base[Puce], ""))</f>
        <v/>
      </c>
      <c r="C61" s="143" t="str">
        <f>IF(A61="","",_xlfn.XLOOKUP(A61,Tab_base[Nom + Prénom],Tab_base[Court],""))</f>
        <v/>
      </c>
    </row>
    <row r="62" spans="2:3" x14ac:dyDescent="0.3">
      <c r="B62" s="143" t="str">
        <f>IF(A62="","",_xlfn.XLOOKUP(A62,Tab_base[Nom + Prénom],Tab_base[Puce], ""))</f>
        <v/>
      </c>
      <c r="C62" s="143" t="str">
        <f>IF(A62="","",_xlfn.XLOOKUP(A62,Tab_base[Nom + Prénom],Tab_base[Court],""))</f>
        <v/>
      </c>
    </row>
    <row r="63" spans="2:3" x14ac:dyDescent="0.3">
      <c r="B63" s="143" t="str">
        <f>IF(A63="","",_xlfn.XLOOKUP(A63,Tab_base[Nom + Prénom],Tab_base[Puce], ""))</f>
        <v/>
      </c>
      <c r="C63" s="143" t="str">
        <f>IF(A63="","",_xlfn.XLOOKUP(A63,Tab_base[Nom + Prénom],Tab_base[Court],""))</f>
        <v/>
      </c>
    </row>
    <row r="64" spans="2:3" x14ac:dyDescent="0.3">
      <c r="B64" s="143" t="str">
        <f>IF(A64="","",_xlfn.XLOOKUP(A64,Tab_base[Nom + Prénom],Tab_base[Puce], ""))</f>
        <v/>
      </c>
      <c r="C64" s="143" t="str">
        <f>IF(A64="","",_xlfn.XLOOKUP(A64,Tab_base[Nom + Prénom],Tab_base[Court],""))</f>
        <v/>
      </c>
    </row>
    <row r="65" spans="2:3" x14ac:dyDescent="0.3">
      <c r="B65" s="143" t="str">
        <f>IF(A65="","",_xlfn.XLOOKUP(A65,Tab_base[Nom + Prénom],Tab_base[Puce], ""))</f>
        <v/>
      </c>
      <c r="C65" s="143" t="str">
        <f>IF(A65="","",_xlfn.XLOOKUP(A65,Tab_base[Nom + Prénom],Tab_base[Court],""))</f>
        <v/>
      </c>
    </row>
    <row r="66" spans="2:3" x14ac:dyDescent="0.3">
      <c r="B66" s="143" t="str">
        <f>IF(A66="","",_xlfn.XLOOKUP(A66,Tab_base[Nom + Prénom],Tab_base[Puce], ""))</f>
        <v/>
      </c>
      <c r="C66" s="143" t="str">
        <f>IF(A66="","",_xlfn.XLOOKUP(A66,Tab_base[Nom + Prénom],Tab_base[Court],""))</f>
        <v/>
      </c>
    </row>
    <row r="67" spans="2:3" x14ac:dyDescent="0.3">
      <c r="B67" s="143" t="str">
        <f>IF(A67="","",_xlfn.XLOOKUP(A67,Tab_base[Nom + Prénom],Tab_base[Puce], ""))</f>
        <v/>
      </c>
      <c r="C67" s="143" t="str">
        <f>IF(A67="","",_xlfn.XLOOKUP(A67,Tab_base[Nom + Prénom],Tab_base[Court],""))</f>
        <v/>
      </c>
    </row>
    <row r="68" spans="2:3" x14ac:dyDescent="0.3">
      <c r="B68" s="143" t="str">
        <f>IF(A68="","",_xlfn.XLOOKUP(A68,Tab_base[Nom + Prénom],Tab_base[Puce], ""))</f>
        <v/>
      </c>
      <c r="C68" s="143" t="str">
        <f>IF(A68="","",_xlfn.XLOOKUP(A68,Tab_base[Nom + Prénom],Tab_base[Court],""))</f>
        <v/>
      </c>
    </row>
    <row r="69" spans="2:3" x14ac:dyDescent="0.3">
      <c r="B69" s="143" t="str">
        <f>IF(A69="","",_xlfn.XLOOKUP(A69,Tab_base[Nom + Prénom],Tab_base[Puce], ""))</f>
        <v/>
      </c>
      <c r="C69" s="143" t="str">
        <f>IF(A69="","",_xlfn.XLOOKUP(A69,Tab_base[Nom + Prénom],Tab_base[Court],""))</f>
        <v/>
      </c>
    </row>
    <row r="70" spans="2:3" x14ac:dyDescent="0.3">
      <c r="B70" s="143" t="str">
        <f>IF(A70="","",_xlfn.XLOOKUP(A70,Tab_base[Nom + Prénom],Tab_base[Puce], ""))</f>
        <v/>
      </c>
      <c r="C70" s="143" t="str">
        <f>IF(A70="","",_xlfn.XLOOKUP(A70,Tab_base[Nom + Prénom],Tab_base[Court],""))</f>
        <v/>
      </c>
    </row>
    <row r="71" spans="2:3" x14ac:dyDescent="0.3">
      <c r="B71" s="143" t="str">
        <f>IF(A71="","",_xlfn.XLOOKUP(A71,Tab_base[Nom + Prénom],Tab_base[Puce], ""))</f>
        <v/>
      </c>
      <c r="C71" s="143" t="str">
        <f>IF(A71="","",_xlfn.XLOOKUP(A71,Tab_base[Nom + Prénom],Tab_base[Court],""))</f>
        <v/>
      </c>
    </row>
    <row r="72" spans="2:3" x14ac:dyDescent="0.3">
      <c r="B72" s="143" t="str">
        <f>IF(A72="","",_xlfn.XLOOKUP(A72,Tab_base[Nom + Prénom],Tab_base[Puce], ""))</f>
        <v/>
      </c>
      <c r="C72" s="143" t="str">
        <f>IF(A72="","",_xlfn.XLOOKUP(A72,Tab_base[Nom + Prénom],Tab_base[Court],""))</f>
        <v/>
      </c>
    </row>
    <row r="73" spans="2:3" x14ac:dyDescent="0.3">
      <c r="B73" s="143" t="str">
        <f>IF(A73="","",_xlfn.XLOOKUP(A73,Tab_base[Nom + Prénom],Tab_base[Puce], ""))</f>
        <v/>
      </c>
      <c r="C73" s="143" t="str">
        <f>IF(A73="","",_xlfn.XLOOKUP(A73,Tab_base[Nom + Prénom],Tab_base[Court],""))</f>
        <v/>
      </c>
    </row>
    <row r="74" spans="2:3" x14ac:dyDescent="0.3">
      <c r="B74" s="143" t="str">
        <f>IF(A74="","",_xlfn.XLOOKUP(A74,Tab_base[Nom + Prénom],Tab_base[Puce], ""))</f>
        <v/>
      </c>
      <c r="C74" s="143" t="str">
        <f>IF(A74="","",_xlfn.XLOOKUP(A74,Tab_base[Nom + Prénom],Tab_base[Court],""))</f>
        <v/>
      </c>
    </row>
    <row r="75" spans="2:3" x14ac:dyDescent="0.3">
      <c r="B75" s="143" t="str">
        <f>IF(A75="","",_xlfn.XLOOKUP(A75,Tab_base[Nom + Prénom],Tab_base[Puce], ""))</f>
        <v/>
      </c>
      <c r="C75" s="143" t="str">
        <f>IF(A75="","",_xlfn.XLOOKUP(A75,Tab_base[Nom + Prénom],Tab_base[Court],""))</f>
        <v/>
      </c>
    </row>
    <row r="76" spans="2:3" x14ac:dyDescent="0.3">
      <c r="B76" s="143" t="str">
        <f>IF(A76="","",_xlfn.XLOOKUP(A76,Tab_base[Nom + Prénom],Tab_base[Puce], ""))</f>
        <v/>
      </c>
      <c r="C76" s="143" t="str">
        <f>IF(A76="","",_xlfn.XLOOKUP(A76,Tab_base[Nom + Prénom],Tab_base[Court],""))</f>
        <v/>
      </c>
    </row>
    <row r="77" spans="2:3" x14ac:dyDescent="0.3">
      <c r="B77" s="143" t="str">
        <f>IF(A77="","",_xlfn.XLOOKUP(A77,Tab_base[Nom + Prénom],Tab_base[Puce], ""))</f>
        <v/>
      </c>
      <c r="C77" s="143" t="str">
        <f>IF(A77="","",_xlfn.XLOOKUP(A77,Tab_base[Nom + Prénom],Tab_base[Court],""))</f>
        <v/>
      </c>
    </row>
    <row r="78" spans="2:3" x14ac:dyDescent="0.3">
      <c r="B78" s="143" t="str">
        <f>IF(A78="","",_xlfn.XLOOKUP(A78,Tab_base[Nom + Prénom],Tab_base[Puce], ""))</f>
        <v/>
      </c>
      <c r="C78" s="143" t="str">
        <f>IF(A78="","",_xlfn.XLOOKUP(A78,Tab_base[Nom + Prénom],Tab_base[Court],""))</f>
        <v/>
      </c>
    </row>
    <row r="79" spans="2:3" x14ac:dyDescent="0.3">
      <c r="B79" s="143" t="str">
        <f>IF(A79="","",_xlfn.XLOOKUP(A79,Tab_base[Nom + Prénom],Tab_base[Puce], ""))</f>
        <v/>
      </c>
      <c r="C79" s="143" t="str">
        <f>IF(A79="","",_xlfn.XLOOKUP(A79,Tab_base[Nom + Prénom],Tab_base[Court],""))</f>
        <v/>
      </c>
    </row>
    <row r="80" spans="2:3" x14ac:dyDescent="0.3">
      <c r="B80" s="143" t="str">
        <f>IF(A80="","",_xlfn.XLOOKUP(A80,Tab_base[Nom + Prénom],Tab_base[Puce], ""))</f>
        <v/>
      </c>
      <c r="C80" s="143" t="str">
        <f>IF(A80="","",_xlfn.XLOOKUP(A80,Tab_base[Nom + Prénom],Tab_base[Court],""))</f>
        <v/>
      </c>
    </row>
    <row r="81" spans="2:3" x14ac:dyDescent="0.3">
      <c r="B81" s="143" t="str">
        <f>IF(A81="","",_xlfn.XLOOKUP(A81,Tab_base[Nom + Prénom],Tab_base[Puce], ""))</f>
        <v/>
      </c>
      <c r="C81" s="143" t="str">
        <f>IF(A81="","",_xlfn.XLOOKUP(A81,Tab_base[Nom + Prénom],Tab_base[Court],""))</f>
        <v/>
      </c>
    </row>
    <row r="82" spans="2:3" x14ac:dyDescent="0.3">
      <c r="B82" s="143" t="str">
        <f>IF(A82="","",_xlfn.XLOOKUP(A82,Tab_base[Nom + Prénom],Tab_base[Puce], ""))</f>
        <v/>
      </c>
      <c r="C82" s="143" t="str">
        <f>IF(A82="","",_xlfn.XLOOKUP(A82,Tab_base[Nom + Prénom],Tab_base[Court],""))</f>
        <v/>
      </c>
    </row>
    <row r="83" spans="2:3" x14ac:dyDescent="0.3">
      <c r="B83" s="143" t="str">
        <f>IF(A83="","",_xlfn.XLOOKUP(A83,Tab_base[Nom + Prénom],Tab_base[Puce], ""))</f>
        <v/>
      </c>
      <c r="C83" s="143" t="str">
        <f>IF(A83="","",_xlfn.XLOOKUP(A83,Tab_base[Nom + Prénom],Tab_base[Court],""))</f>
        <v/>
      </c>
    </row>
    <row r="84" spans="2:3" x14ac:dyDescent="0.3">
      <c r="B84" s="143" t="str">
        <f>IF(A84="","",_xlfn.XLOOKUP(A84,Tab_base[Nom + Prénom],Tab_base[Puce], ""))</f>
        <v/>
      </c>
      <c r="C84" s="143" t="str">
        <f>IF(A84="","",_xlfn.XLOOKUP(A84,Tab_base[Nom + Prénom],Tab_base[Court],""))</f>
        <v/>
      </c>
    </row>
    <row r="85" spans="2:3" x14ac:dyDescent="0.3">
      <c r="B85" s="143" t="str">
        <f>IF(A85="","",_xlfn.XLOOKUP(A85,Tab_base[Nom + Prénom],Tab_base[Puce], ""))</f>
        <v/>
      </c>
      <c r="C85" s="143" t="str">
        <f>IF(A85="","",_xlfn.XLOOKUP(A85,Tab_base[Nom + Prénom],Tab_base[Court],""))</f>
        <v/>
      </c>
    </row>
    <row r="86" spans="2:3" x14ac:dyDescent="0.3">
      <c r="B86" s="143" t="str">
        <f>IF(A86="","",_xlfn.XLOOKUP(A86,Tab_base[Nom + Prénom],Tab_base[Puce], ""))</f>
        <v/>
      </c>
      <c r="C86" s="143" t="str">
        <f>IF(A86="","",_xlfn.XLOOKUP(A86,Tab_base[Nom + Prénom],Tab_base[Court],""))</f>
        <v/>
      </c>
    </row>
    <row r="87" spans="2:3" x14ac:dyDescent="0.3">
      <c r="B87" s="143" t="str">
        <f>IF(A87="","",_xlfn.XLOOKUP(A87,Tab_base[Nom + Prénom],Tab_base[Puce], ""))</f>
        <v/>
      </c>
      <c r="C87" s="143" t="str">
        <f>IF(A87="","",_xlfn.XLOOKUP(A87,Tab_base[Nom + Prénom],Tab_base[Court],""))</f>
        <v/>
      </c>
    </row>
    <row r="88" spans="2:3" x14ac:dyDescent="0.3">
      <c r="B88" s="143" t="str">
        <f>IF(A88="","",_xlfn.XLOOKUP(A88,Tab_base[Nom + Prénom],Tab_base[Puce], ""))</f>
        <v/>
      </c>
      <c r="C88" s="143" t="str">
        <f>IF(A88="","",_xlfn.XLOOKUP(A88,Tab_base[Nom + Prénom],Tab_base[Court],""))</f>
        <v/>
      </c>
    </row>
    <row r="89" spans="2:3" x14ac:dyDescent="0.3">
      <c r="B89" s="143" t="str">
        <f>IF(A89="","",_xlfn.XLOOKUP(A89,Tab_base[Nom + Prénom],Tab_base[Puce], ""))</f>
        <v/>
      </c>
      <c r="C89" s="143" t="str">
        <f>IF(A89="","",_xlfn.XLOOKUP(A89,Tab_base[Nom + Prénom],Tab_base[Court],""))</f>
        <v/>
      </c>
    </row>
    <row r="90" spans="2:3" x14ac:dyDescent="0.3">
      <c r="B90" s="143" t="str">
        <f>IF(A90="","",_xlfn.XLOOKUP(A90,Tab_base[Nom + Prénom],Tab_base[Puce], ""))</f>
        <v/>
      </c>
      <c r="C90" s="143" t="str">
        <f>IF(A90="","",_xlfn.XLOOKUP(A90,Tab_base[Nom + Prénom],Tab_base[Court],""))</f>
        <v/>
      </c>
    </row>
    <row r="91" spans="2:3" x14ac:dyDescent="0.3">
      <c r="B91" s="143" t="str">
        <f>IF(A91="","",_xlfn.XLOOKUP(A91,Tab_base[Nom + Prénom],Tab_base[Puce], ""))</f>
        <v/>
      </c>
      <c r="C91" s="143" t="str">
        <f>IF(A91="","",_xlfn.XLOOKUP(A91,Tab_base[Nom + Prénom],Tab_base[Court],""))</f>
        <v/>
      </c>
    </row>
    <row r="92" spans="2:3" x14ac:dyDescent="0.3">
      <c r="B92" s="143" t="str">
        <f>IF(A92="","",_xlfn.XLOOKUP(A92,Tab_base[Nom + Prénom],Tab_base[Puce], ""))</f>
        <v/>
      </c>
      <c r="C92" s="143" t="str">
        <f>IF(A92="","",_xlfn.XLOOKUP(A92,Tab_base[Nom + Prénom],Tab_base[Court],""))</f>
        <v/>
      </c>
    </row>
    <row r="93" spans="2:3" x14ac:dyDescent="0.3">
      <c r="B93" s="143" t="str">
        <f>IF(A93="","",_xlfn.XLOOKUP(A93,Tab_base[Nom + Prénom],Tab_base[Puce], ""))</f>
        <v/>
      </c>
      <c r="C93" s="143" t="str">
        <f>IF(A93="","",_xlfn.XLOOKUP(A93,Tab_base[Nom + Prénom],Tab_base[Court],""))</f>
        <v/>
      </c>
    </row>
    <row r="94" spans="2:3" x14ac:dyDescent="0.3">
      <c r="B94" s="143" t="str">
        <f>IF(A94="","",_xlfn.XLOOKUP(A94,Tab_base[Nom + Prénom],Tab_base[Puce], ""))</f>
        <v/>
      </c>
      <c r="C94" s="143" t="str">
        <f>IF(A94="","",_xlfn.XLOOKUP(A94,Tab_base[Nom + Prénom],Tab_base[Court],""))</f>
        <v/>
      </c>
    </row>
    <row r="95" spans="2:3" x14ac:dyDescent="0.3">
      <c r="B95" s="143" t="str">
        <f>IF(A95="","",_xlfn.XLOOKUP(A95,Tab_base[Nom + Prénom],Tab_base[Puce], ""))</f>
        <v/>
      </c>
      <c r="C95" s="143" t="str">
        <f>IF(A95="","",_xlfn.XLOOKUP(A95,Tab_base[Nom + Prénom],Tab_base[Court],""))</f>
        <v/>
      </c>
    </row>
    <row r="96" spans="2:3" x14ac:dyDescent="0.3">
      <c r="B96" s="143" t="str">
        <f>IF(A96="","",_xlfn.XLOOKUP(A96,Tab_base[Nom + Prénom],Tab_base[Puce], ""))</f>
        <v/>
      </c>
      <c r="C96" s="143" t="str">
        <f>IF(A96="","",_xlfn.XLOOKUP(A96,Tab_base[Nom + Prénom],Tab_base[Court],""))</f>
        <v/>
      </c>
    </row>
    <row r="97" spans="2:3" x14ac:dyDescent="0.3">
      <c r="B97" s="143" t="str">
        <f>IF(A97="","",_xlfn.XLOOKUP(A97,Tab_base[Nom + Prénom],Tab_base[Puce], ""))</f>
        <v/>
      </c>
      <c r="C97" s="143" t="str">
        <f>IF(A97="","",_xlfn.XLOOKUP(A97,Tab_base[Nom + Prénom],Tab_base[Court],""))</f>
        <v/>
      </c>
    </row>
    <row r="98" spans="2:3" x14ac:dyDescent="0.3">
      <c r="B98" s="143" t="str">
        <f>IF(A98="","",_xlfn.XLOOKUP(A98,Tab_base[Nom + Prénom],Tab_base[Puce], ""))</f>
        <v/>
      </c>
      <c r="C98" s="143" t="str">
        <f>IF(A98="","",_xlfn.XLOOKUP(A98,Tab_base[Nom + Prénom],Tab_base[Court],""))</f>
        <v/>
      </c>
    </row>
    <row r="99" spans="2:3" x14ac:dyDescent="0.3">
      <c r="B99" s="143" t="str">
        <f>IF(A99="","",_xlfn.XLOOKUP(A99,Tab_base[Nom + Prénom],Tab_base[Puce], ""))</f>
        <v/>
      </c>
      <c r="C99" s="143" t="str">
        <f>IF(A99="","",_xlfn.XLOOKUP(A99,Tab_base[Nom + Prénom],Tab_base[Court],""))</f>
        <v/>
      </c>
    </row>
    <row r="100" spans="2:3" x14ac:dyDescent="0.3">
      <c r="B100" s="143" t="str">
        <f>IF(A100="","",_xlfn.XLOOKUP(A100,Tab_base[Nom + Prénom],Tab_base[Puce], ""))</f>
        <v/>
      </c>
      <c r="C100" s="143" t="str">
        <f>IF(A100="","",_xlfn.XLOOKUP(A100,Tab_base[Nom + Prénom],Tab_base[Court],""))</f>
        <v/>
      </c>
    </row>
    <row r="101" spans="2:3" x14ac:dyDescent="0.3">
      <c r="B101" s="143" t="str">
        <f>IF(A101="","",_xlfn.XLOOKUP(A101,Tab_base[Nom + Prénom],Tab_base[Puce], ""))</f>
        <v/>
      </c>
      <c r="C101" s="143" t="str">
        <f>IF(A101="","",_xlfn.XLOOKUP(A101,Tab_base[Nom + Prénom],Tab_base[Court],""))</f>
        <v/>
      </c>
    </row>
    <row r="102" spans="2:3" x14ac:dyDescent="0.3">
      <c r="B102" s="143" t="str">
        <f>IF(A102="","",_xlfn.XLOOKUP(A102,Tab_base[Nom + Prénom],Tab_base[Puce], ""))</f>
        <v/>
      </c>
      <c r="C102" s="143" t="str">
        <f>IF(A102="","",_xlfn.XLOOKUP(A102,Tab_base[Nom + Prénom],Tab_base[Court],""))</f>
        <v/>
      </c>
    </row>
    <row r="103" spans="2:3" x14ac:dyDescent="0.3">
      <c r="B103" s="143" t="str">
        <f>IF(A103="","",_xlfn.XLOOKUP(A103,Tab_base[Nom + Prénom],Tab_base[Puce], ""))</f>
        <v/>
      </c>
      <c r="C103" s="143" t="str">
        <f>IF(A103="","",_xlfn.XLOOKUP(A103,Tab_base[Nom + Prénom],Tab_base[Court],""))</f>
        <v/>
      </c>
    </row>
    <row r="104" spans="2:3" x14ac:dyDescent="0.3">
      <c r="B104" s="143" t="str">
        <f>IF(A104="","",_xlfn.XLOOKUP(A104,Tab_base[Nom + Prénom],Tab_base[Puce], ""))</f>
        <v/>
      </c>
      <c r="C104" s="143" t="str">
        <f>IF(A104="","",_xlfn.XLOOKUP(A104,Tab_base[Nom + Prénom],Tab_base[Court],""))</f>
        <v/>
      </c>
    </row>
    <row r="105" spans="2:3" x14ac:dyDescent="0.3">
      <c r="B105" s="143" t="str">
        <f>IF(A105="","",_xlfn.XLOOKUP(A105,Tab_base[Nom + Prénom],Tab_base[Puce], ""))</f>
        <v/>
      </c>
      <c r="C105" s="143" t="str">
        <f>IF(A105="","",_xlfn.XLOOKUP(A105,Tab_base[Nom + Prénom],Tab_base[Court],""))</f>
        <v/>
      </c>
    </row>
    <row r="106" spans="2:3" x14ac:dyDescent="0.3">
      <c r="B106" s="143" t="str">
        <f>IF(A106="","",_xlfn.XLOOKUP(A106,Tab_base[Nom + Prénom],Tab_base[Puce], ""))</f>
        <v/>
      </c>
      <c r="C106" s="143" t="str">
        <f>IF(A106="","",_xlfn.XLOOKUP(A106,Tab_base[Nom + Prénom],Tab_base[Court],""))</f>
        <v/>
      </c>
    </row>
    <row r="107" spans="2:3" x14ac:dyDescent="0.3">
      <c r="B107" s="143" t="str">
        <f>IF(A107="","",_xlfn.XLOOKUP(A107,Tab_base[Nom + Prénom],Tab_base[Puce], ""))</f>
        <v/>
      </c>
      <c r="C107" s="143" t="str">
        <f>IF(A107="","",_xlfn.XLOOKUP(A107,Tab_base[Nom + Prénom],Tab_base[Court],""))</f>
        <v/>
      </c>
    </row>
    <row r="108" spans="2:3" x14ac:dyDescent="0.3">
      <c r="B108" s="143" t="str">
        <f>IF(A108="","",_xlfn.XLOOKUP(A108,Tab_base[Nom + Prénom],Tab_base[Puce], ""))</f>
        <v/>
      </c>
      <c r="C108" s="143" t="str">
        <f>IF(A108="","",_xlfn.XLOOKUP(A108,Tab_base[Nom + Prénom],Tab_base[Court],""))</f>
        <v/>
      </c>
    </row>
    <row r="109" spans="2:3" x14ac:dyDescent="0.3">
      <c r="B109" s="143" t="str">
        <f>IF(A109="","",_xlfn.XLOOKUP(A109,Tab_base[Nom + Prénom],Tab_base[Puce], ""))</f>
        <v/>
      </c>
      <c r="C109" s="143" t="str">
        <f>IF(A109="","",_xlfn.XLOOKUP(A109,Tab_base[Nom + Prénom],Tab_base[Court],""))</f>
        <v/>
      </c>
    </row>
    <row r="110" spans="2:3" x14ac:dyDescent="0.3">
      <c r="B110" s="143" t="str">
        <f>IF(A110="","",_xlfn.XLOOKUP(A110,Tab_base[Nom + Prénom],Tab_base[Puce], ""))</f>
        <v/>
      </c>
      <c r="C110" s="143" t="str">
        <f>IF(A110="","",_xlfn.XLOOKUP(A110,Tab_base[Nom + Prénom],Tab_base[Court],""))</f>
        <v/>
      </c>
    </row>
    <row r="111" spans="2:3" x14ac:dyDescent="0.3">
      <c r="B111" s="143" t="str">
        <f>IF(A111="","",_xlfn.XLOOKUP(A111,Tab_base[Nom + Prénom],Tab_base[Puce], ""))</f>
        <v/>
      </c>
      <c r="C111" s="143" t="str">
        <f>IF(A111="","",_xlfn.XLOOKUP(A111,Tab_base[Nom + Prénom],Tab_base[Court],""))</f>
        <v/>
      </c>
    </row>
    <row r="112" spans="2:3" x14ac:dyDescent="0.3">
      <c r="B112" s="143" t="str">
        <f>IF(A112="","",_xlfn.XLOOKUP(A112,Tab_base[Nom + Prénom],Tab_base[Puce], ""))</f>
        <v/>
      </c>
      <c r="C112" s="143" t="str">
        <f>IF(A112="","",_xlfn.XLOOKUP(A112,Tab_base[Nom + Prénom],Tab_base[Court],""))</f>
        <v/>
      </c>
    </row>
    <row r="113" spans="2:3" x14ac:dyDescent="0.3">
      <c r="B113" s="143" t="str">
        <f>IF(A113="","",_xlfn.XLOOKUP(A113,Tab_base[Nom + Prénom],Tab_base[Puce], ""))</f>
        <v/>
      </c>
      <c r="C113" s="143" t="str">
        <f>IF(A113="","",_xlfn.XLOOKUP(A113,Tab_base[Nom + Prénom],Tab_base[Court],""))</f>
        <v/>
      </c>
    </row>
    <row r="114" spans="2:3" x14ac:dyDescent="0.3">
      <c r="B114" s="143" t="str">
        <f>IF(A114="","",_xlfn.XLOOKUP(A114,Tab_base[Nom + Prénom],Tab_base[Puce], ""))</f>
        <v/>
      </c>
      <c r="C114" s="143" t="str">
        <f>IF(A114="","",_xlfn.XLOOKUP(A114,Tab_base[Nom + Prénom],Tab_base[Court],""))</f>
        <v/>
      </c>
    </row>
    <row r="115" spans="2:3" x14ac:dyDescent="0.3">
      <c r="B115" s="143" t="str">
        <f>IF(A115="","",_xlfn.XLOOKUP(A115,Tab_base[Nom + Prénom],Tab_base[Puce], ""))</f>
        <v/>
      </c>
      <c r="C115" s="143" t="str">
        <f>IF(A115="","",_xlfn.XLOOKUP(A115,Tab_base[Nom + Prénom],Tab_base[Court],""))</f>
        <v/>
      </c>
    </row>
    <row r="116" spans="2:3" x14ac:dyDescent="0.3">
      <c r="B116" s="143" t="str">
        <f>IF(A116="","",_xlfn.XLOOKUP(A116,Tab_base[Nom + Prénom],Tab_base[Puce], ""))</f>
        <v/>
      </c>
      <c r="C116" s="143" t="str">
        <f>IF(A116="","",_xlfn.XLOOKUP(A116,Tab_base[Nom + Prénom],Tab_base[Court],""))</f>
        <v/>
      </c>
    </row>
    <row r="117" spans="2:3" x14ac:dyDescent="0.3">
      <c r="B117" s="143" t="str">
        <f>IF(A117="","",_xlfn.XLOOKUP(A117,Tab_base[Nom + Prénom],Tab_base[Puce], ""))</f>
        <v/>
      </c>
      <c r="C117" s="143" t="str">
        <f>IF(A117="","",_xlfn.XLOOKUP(A117,Tab_base[Nom + Prénom],Tab_base[Court],""))</f>
        <v/>
      </c>
    </row>
    <row r="118" spans="2:3" x14ac:dyDescent="0.3">
      <c r="B118" s="143" t="str">
        <f>IF(A118="","",_xlfn.XLOOKUP(A118,Tab_base[Nom + Prénom],Tab_base[Puce], ""))</f>
        <v/>
      </c>
      <c r="C118" s="143" t="str">
        <f>IF(A118="","",_xlfn.XLOOKUP(A118,Tab_base[Nom + Prénom],Tab_base[Court],""))</f>
        <v/>
      </c>
    </row>
    <row r="119" spans="2:3" x14ac:dyDescent="0.3">
      <c r="B119" s="143" t="str">
        <f>IF(A119="","",_xlfn.XLOOKUP(A119,Tab_base[Nom + Prénom],Tab_base[Puce], ""))</f>
        <v/>
      </c>
      <c r="C119" s="143" t="str">
        <f>IF(A119="","",_xlfn.XLOOKUP(A119,Tab_base[Nom + Prénom],Tab_base[Court],""))</f>
        <v/>
      </c>
    </row>
    <row r="120" spans="2:3" x14ac:dyDescent="0.3">
      <c r="B120" s="143" t="str">
        <f>IF(A120="","",_xlfn.XLOOKUP(A120,Tab_base[Nom + Prénom],Tab_base[Puce], ""))</f>
        <v/>
      </c>
      <c r="C120" s="143" t="str">
        <f>IF(A120="","",_xlfn.XLOOKUP(A120,Tab_base[Nom + Prénom],Tab_base[Court],""))</f>
        <v/>
      </c>
    </row>
    <row r="121" spans="2:3" x14ac:dyDescent="0.3">
      <c r="B121" s="143" t="str">
        <f>IF(A121="","",_xlfn.XLOOKUP(A121,Tab_base[Nom + Prénom],Tab_base[Puce], ""))</f>
        <v/>
      </c>
      <c r="C121" s="143" t="str">
        <f>IF(A121="","",_xlfn.XLOOKUP(A121,Tab_base[Nom + Prénom],Tab_base[Court],""))</f>
        <v/>
      </c>
    </row>
    <row r="122" spans="2:3" x14ac:dyDescent="0.3">
      <c r="B122" s="143" t="str">
        <f>IF(A122="","",_xlfn.XLOOKUP(A122,Tab_base[Nom + Prénom],Tab_base[Puce], ""))</f>
        <v/>
      </c>
      <c r="C122" s="143" t="str">
        <f>IF(A122="","",_xlfn.XLOOKUP(A122,Tab_base[Nom + Prénom],Tab_base[Court],""))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boautoComplete">
          <controlPr defaultSize="0" autoLine="0" r:id="rId5">
            <anchor moveWithCells="1">
              <from>
                <xdr:col>0</xdr:col>
                <xdr:colOff>0</xdr:colOff>
                <xdr:row>122</xdr:row>
                <xdr:rowOff>0</xdr:rowOff>
              </from>
              <to>
                <xdr:col>1</xdr:col>
                <xdr:colOff>320040</xdr:colOff>
                <xdr:row>123</xdr:row>
                <xdr:rowOff>53340</xdr:rowOff>
              </to>
            </anchor>
          </controlPr>
        </control>
      </mc:Choice>
      <mc:Fallback>
        <control shapeId="8193" r:id="rId4" name="CboautoComple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E089F6-6900-482D-8E1E-8B30A4652A25}">
          <x14:formula1>
            <xm:f>base!$Y$2:$Y$94</xm:f>
          </x14:formula1>
          <xm:sqref>A3:A172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Y121"/>
  <sheetViews>
    <sheetView zoomScale="106" zoomScaleNormal="106" workbookViewId="0">
      <pane xSplit="3" ySplit="2" topLeftCell="AR21" activePane="bottomRight" state="frozen"/>
      <selection pane="topRight" activeCell="D1" sqref="D1"/>
      <selection pane="bottomLeft" activeCell="A3" sqref="A3"/>
      <selection pane="bottomRight" activeCell="BD37" sqref="BD37:BF37"/>
    </sheetView>
  </sheetViews>
  <sheetFormatPr baseColWidth="10" defaultColWidth="9.109375" defaultRowHeight="14.4" x14ac:dyDescent="0.3"/>
  <cols>
    <col min="1" max="1" width="18.21875" style="128" bestFit="1" customWidth="1"/>
    <col min="2" max="2" width="8.33203125" style="128" bestFit="1" customWidth="1"/>
    <col min="3" max="3" width="4.33203125" style="128" bestFit="1" customWidth="1"/>
    <col min="4" max="4" width="7.21875" style="43" bestFit="1" customWidth="1"/>
    <col min="5" max="5" width="7.109375" style="41" bestFit="1" customWidth="1"/>
    <col min="6" max="6" width="7" style="42" bestFit="1" customWidth="1"/>
    <col min="7" max="7" width="5.5546875" style="43" bestFit="1" customWidth="1"/>
    <col min="8" max="8" width="5.21875" style="44" bestFit="1" customWidth="1"/>
    <col min="9" max="9" width="7.21875" style="45" customWidth="1"/>
    <col min="10" max="10" width="7.109375" style="46" bestFit="1" customWidth="1"/>
    <col min="11" max="11" width="7" style="47" bestFit="1" customWidth="1"/>
    <col min="12" max="12" width="5.5546875" style="45" bestFit="1" customWidth="1"/>
    <col min="13" max="13" width="5.21875" style="48" bestFit="1" customWidth="1"/>
    <col min="14" max="14" width="8.21875" style="49" customWidth="1"/>
    <col min="15" max="15" width="7.109375" style="50" bestFit="1" customWidth="1"/>
    <col min="16" max="16" width="7" style="51" bestFit="1" customWidth="1"/>
    <col min="17" max="17" width="5.5546875" style="49" bestFit="1" customWidth="1"/>
    <col min="18" max="18" width="5.21875" style="52" bestFit="1" customWidth="1"/>
    <col min="19" max="23" width="9.109375" style="65"/>
    <col min="24" max="28" width="9.109375" style="57"/>
    <col min="29" max="33" width="9.109375" style="61"/>
    <col min="34" max="35" width="5.21875" style="53" customWidth="1"/>
    <col min="36" max="36" width="8.33203125" style="53" bestFit="1" customWidth="1"/>
    <col min="37" max="37" width="5.21875" style="53" customWidth="1"/>
    <col min="38" max="38" width="6.77734375" style="53" bestFit="1" customWidth="1"/>
    <col min="39" max="39" width="13.44140625" style="79" customWidth="1"/>
    <col min="40" max="40" width="6.109375" style="80" bestFit="1" customWidth="1"/>
    <col min="41" max="41" width="7.109375" style="81" bestFit="1" customWidth="1"/>
    <col min="42" max="42" width="6.5546875" style="79" bestFit="1" customWidth="1"/>
    <col min="43" max="43" width="5.21875" style="82" bestFit="1" customWidth="1"/>
    <col min="44" max="44" width="24.44140625" style="57" bestFit="1" customWidth="1"/>
    <col min="45" max="45" width="6.109375" style="58" bestFit="1" customWidth="1"/>
    <col min="46" max="46" width="8.109375" style="59" bestFit="1" customWidth="1"/>
    <col min="47" max="47" width="5.77734375" style="60" bestFit="1" customWidth="1"/>
    <col min="48" max="48" width="5.21875" style="60" bestFit="1" customWidth="1"/>
    <col min="49" max="49" width="26.88671875" style="65" bestFit="1" customWidth="1"/>
    <col min="50" max="50" width="6.109375" style="89" bestFit="1" customWidth="1"/>
    <col min="51" max="51" width="8.109375" style="90" bestFit="1" customWidth="1"/>
    <col min="52" max="52" width="7.44140625" style="91" bestFit="1" customWidth="1"/>
    <col min="53" max="53" width="5.21875" style="91" bestFit="1" customWidth="1"/>
    <col min="54" max="54" width="27.77734375" style="96" bestFit="1" customWidth="1"/>
    <col min="55" max="55" width="8.33203125" style="126" bestFit="1" customWidth="1"/>
    <col min="56" max="56" width="7.21875" style="97" bestFit="1" customWidth="1"/>
    <col min="57" max="57" width="6.6640625" style="96" bestFit="1" customWidth="1"/>
    <col min="58" max="58" width="7.77734375" style="97" bestFit="1" customWidth="1"/>
    <col min="59" max="59" width="26.33203125" style="43" bestFit="1" customWidth="1"/>
    <col min="60" max="60" width="6.109375" style="44" bestFit="1" customWidth="1"/>
    <col min="61" max="61" width="8.109375" style="44" bestFit="1" customWidth="1"/>
    <col min="62" max="62" width="7.6640625" style="44" bestFit="1" customWidth="1"/>
    <col min="63" max="63" width="6.77734375" style="44" bestFit="1" customWidth="1"/>
    <col min="64" max="64" width="30.21875" style="49" bestFit="1" customWidth="1"/>
    <col min="65" max="65" width="6.109375" style="50" bestFit="1" customWidth="1"/>
    <col min="66" max="66" width="8.109375" style="52" bestFit="1" customWidth="1"/>
    <col min="67" max="67" width="4.5546875" style="52" bestFit="1" customWidth="1"/>
    <col min="68" max="68" width="5.21875" style="52" bestFit="1" customWidth="1"/>
    <col min="69" max="69" width="21.21875" style="61" bestFit="1" customWidth="1"/>
    <col min="70" max="70" width="6.109375" style="62" bestFit="1" customWidth="1"/>
    <col min="71" max="71" width="7.109375" style="63" bestFit="1" customWidth="1"/>
    <col min="72" max="72" width="5.77734375" style="61" bestFit="1" customWidth="1"/>
    <col min="73" max="73" width="6.5546875" style="64" bestFit="1" customWidth="1"/>
    <col min="74" max="74" width="28.77734375" style="106" bestFit="1" customWidth="1"/>
    <col min="75" max="75" width="6.109375" style="107" bestFit="1" customWidth="1"/>
    <col min="76" max="76" width="7.109375" style="108" bestFit="1" customWidth="1"/>
    <col min="77" max="77" width="6.5546875" style="109" bestFit="1" customWidth="1"/>
    <col min="78" max="78" width="5.21875" style="109" bestFit="1" customWidth="1"/>
    <col min="79" max="79" width="20.5546875" style="112" bestFit="1" customWidth="1"/>
    <col min="80" max="80" width="6.109375" style="113" bestFit="1" customWidth="1"/>
    <col min="81" max="81" width="7.109375" style="114" bestFit="1" customWidth="1"/>
    <col min="82" max="82" width="5.77734375" style="112" bestFit="1" customWidth="1"/>
    <col min="83" max="83" width="8.109375" style="115" bestFit="1" customWidth="1"/>
    <col min="84" max="84" width="29.88671875" style="43" bestFit="1" customWidth="1"/>
    <col min="85" max="85" width="7.109375" style="41" bestFit="1" customWidth="1"/>
    <col min="86" max="86" width="7" style="42" bestFit="1" customWidth="1"/>
    <col min="87" max="87" width="5.5546875" style="43" bestFit="1" customWidth="1"/>
    <col min="88" max="88" width="5.21875" style="44" bestFit="1" customWidth="1"/>
    <col min="89" max="89" width="35.6640625" style="122" bestFit="1" customWidth="1"/>
    <col min="90" max="90" width="7.109375" style="123" bestFit="1" customWidth="1"/>
    <col min="91" max="91" width="7" style="124" bestFit="1" customWidth="1"/>
    <col min="92" max="92" width="5.5546875" style="122" bestFit="1" customWidth="1"/>
    <col min="93" max="93" width="5.21875" style="125" bestFit="1" customWidth="1"/>
    <col min="94" max="94" width="7.88671875" style="96" customWidth="1"/>
    <col min="95" max="95" width="7.109375" style="126" bestFit="1" customWidth="1"/>
    <col min="96" max="96" width="6.44140625" style="127" bestFit="1" customWidth="1"/>
    <col min="97" max="97" width="5.5546875" style="96" bestFit="1" customWidth="1"/>
    <col min="98" max="98" width="5.21875" style="97" bestFit="1" customWidth="1"/>
  </cols>
  <sheetData>
    <row r="1" spans="1:103" ht="37.200000000000003" customHeight="1" x14ac:dyDescent="0.3">
      <c r="A1" s="128" t="s">
        <v>0</v>
      </c>
      <c r="D1" s="41" t="s">
        <v>523</v>
      </c>
      <c r="G1" s="43" t="s">
        <v>548</v>
      </c>
      <c r="I1" s="45" t="s">
        <v>85</v>
      </c>
      <c r="N1" s="49" t="s">
        <v>86</v>
      </c>
      <c r="S1" s="65" t="s">
        <v>548</v>
      </c>
      <c r="X1" s="57" t="s">
        <v>529</v>
      </c>
      <c r="AC1" s="61" t="s">
        <v>535</v>
      </c>
      <c r="AH1" s="54" t="s">
        <v>536</v>
      </c>
      <c r="AM1" s="79" t="s">
        <v>676</v>
      </c>
      <c r="AR1" s="57" t="s">
        <v>677</v>
      </c>
      <c r="AW1" s="65" t="s">
        <v>678</v>
      </c>
      <c r="BB1" s="96" t="s">
        <v>1087</v>
      </c>
      <c r="BL1" s="49" t="s">
        <v>1072</v>
      </c>
      <c r="BQ1" s="61" t="s">
        <v>1073</v>
      </c>
    </row>
    <row r="2" spans="1:103" x14ac:dyDescent="0.3">
      <c r="A2" s="128" t="s">
        <v>3</v>
      </c>
      <c r="B2" s="128" t="s">
        <v>4</v>
      </c>
      <c r="C2" s="129" t="s">
        <v>5</v>
      </c>
      <c r="D2" s="43" t="s">
        <v>6</v>
      </c>
      <c r="E2" s="41" t="s">
        <v>7</v>
      </c>
      <c r="F2" s="42" t="s">
        <v>8</v>
      </c>
      <c r="G2" s="43" t="s">
        <v>9</v>
      </c>
      <c r="H2" s="44" t="s">
        <v>490</v>
      </c>
      <c r="I2" s="45" t="s">
        <v>11</v>
      </c>
      <c r="J2" s="46" t="s">
        <v>12</v>
      </c>
      <c r="K2" s="47" t="s">
        <v>13</v>
      </c>
      <c r="L2" s="45" t="s">
        <v>14</v>
      </c>
      <c r="M2" s="48" t="s">
        <v>500</v>
      </c>
      <c r="N2" s="49" t="s">
        <v>15</v>
      </c>
      <c r="O2" s="50" t="s">
        <v>16</v>
      </c>
      <c r="P2" s="51" t="s">
        <v>17</v>
      </c>
      <c r="Q2" s="49" t="s">
        <v>18</v>
      </c>
      <c r="R2" s="52" t="s">
        <v>498</v>
      </c>
      <c r="S2" s="65" t="s">
        <v>19</v>
      </c>
      <c r="T2" s="65" t="s">
        <v>20</v>
      </c>
      <c r="U2" s="65" t="s">
        <v>21</v>
      </c>
      <c r="V2" s="65" t="s">
        <v>22</v>
      </c>
      <c r="W2" s="65" t="s">
        <v>487</v>
      </c>
      <c r="X2" s="57" t="s">
        <v>23</v>
      </c>
      <c r="Y2" s="58" t="s">
        <v>24</v>
      </c>
      <c r="Z2" s="59" t="s">
        <v>25</v>
      </c>
      <c r="AA2" s="57" t="s">
        <v>26</v>
      </c>
      <c r="AB2" s="57" t="s">
        <v>486</v>
      </c>
      <c r="AC2" s="61" t="s">
        <v>27</v>
      </c>
      <c r="AD2" s="62" t="s">
        <v>28</v>
      </c>
      <c r="AE2" s="63" t="s">
        <v>29</v>
      </c>
      <c r="AF2" s="61" t="s">
        <v>30</v>
      </c>
      <c r="AG2" s="64" t="s">
        <v>487</v>
      </c>
      <c r="AH2" s="54" t="s">
        <v>31</v>
      </c>
      <c r="AI2" s="55" t="s">
        <v>32</v>
      </c>
      <c r="AJ2" s="56" t="s">
        <v>33</v>
      </c>
      <c r="AK2" s="54" t="s">
        <v>34</v>
      </c>
      <c r="AL2" s="53" t="s">
        <v>488</v>
      </c>
      <c r="AM2" s="79" t="s">
        <v>35</v>
      </c>
      <c r="AN2" s="80" t="s">
        <v>36</v>
      </c>
      <c r="AO2" s="81" t="s">
        <v>37</v>
      </c>
      <c r="AP2" s="79" t="s">
        <v>38</v>
      </c>
      <c r="AQ2" s="82" t="s">
        <v>489</v>
      </c>
      <c r="AR2" s="57" t="s">
        <v>39</v>
      </c>
      <c r="AS2" s="58" t="s">
        <v>40</v>
      </c>
      <c r="AT2" s="59" t="s">
        <v>41</v>
      </c>
      <c r="AU2" s="60" t="s">
        <v>42</v>
      </c>
      <c r="AV2" s="60" t="s">
        <v>491</v>
      </c>
      <c r="AW2" s="65" t="s">
        <v>43</v>
      </c>
      <c r="AX2" s="89" t="s">
        <v>44</v>
      </c>
      <c r="AY2" s="90" t="s">
        <v>45</v>
      </c>
      <c r="AZ2" s="91" t="s">
        <v>46</v>
      </c>
      <c r="BA2" s="91" t="s">
        <v>497</v>
      </c>
      <c r="BB2" s="98" t="s">
        <v>47</v>
      </c>
      <c r="BC2" s="179" t="s">
        <v>48</v>
      </c>
      <c r="BD2" s="99" t="s">
        <v>49</v>
      </c>
      <c r="BE2" s="98" t="s">
        <v>50</v>
      </c>
      <c r="BF2" s="99" t="s">
        <v>496</v>
      </c>
      <c r="BG2" s="77" t="s">
        <v>51</v>
      </c>
      <c r="BH2" s="78" t="s">
        <v>52</v>
      </c>
      <c r="BI2" s="78" t="s">
        <v>53</v>
      </c>
      <c r="BJ2" s="78" t="s">
        <v>54</v>
      </c>
      <c r="BK2" s="78" t="s">
        <v>495</v>
      </c>
      <c r="BL2" s="49" t="s">
        <v>55</v>
      </c>
      <c r="BM2" s="50" t="s">
        <v>56</v>
      </c>
      <c r="BN2" s="52" t="s">
        <v>57</v>
      </c>
      <c r="BO2" s="52" t="s">
        <v>58</v>
      </c>
      <c r="BP2" s="52" t="s">
        <v>494</v>
      </c>
      <c r="BQ2" s="61" t="s">
        <v>59</v>
      </c>
      <c r="BR2" s="62" t="s">
        <v>60</v>
      </c>
      <c r="BS2" s="63" t="s">
        <v>61</v>
      </c>
      <c r="BT2" s="61" t="s">
        <v>62</v>
      </c>
      <c r="BU2" s="101" t="s">
        <v>493</v>
      </c>
      <c r="BV2" s="106" t="s">
        <v>63</v>
      </c>
      <c r="BW2" s="107" t="s">
        <v>64</v>
      </c>
      <c r="BX2" s="108" t="s">
        <v>65</v>
      </c>
      <c r="BY2" s="109" t="s">
        <v>66</v>
      </c>
      <c r="BZ2" s="109" t="s">
        <v>492</v>
      </c>
      <c r="CA2" s="112" t="s">
        <v>524</v>
      </c>
      <c r="CB2" s="113" t="s">
        <v>525</v>
      </c>
      <c r="CC2" s="114" t="s">
        <v>526</v>
      </c>
      <c r="CD2" s="116" t="s">
        <v>527</v>
      </c>
      <c r="CE2" s="115" t="s">
        <v>528</v>
      </c>
      <c r="CF2" s="43" t="s">
        <v>530</v>
      </c>
      <c r="CG2" s="41" t="s">
        <v>531</v>
      </c>
      <c r="CH2" s="42" t="s">
        <v>532</v>
      </c>
      <c r="CI2" s="43" t="s">
        <v>533</v>
      </c>
      <c r="CJ2" s="44" t="s">
        <v>534</v>
      </c>
      <c r="CK2" s="122" t="s">
        <v>537</v>
      </c>
      <c r="CL2" s="123" t="s">
        <v>538</v>
      </c>
      <c r="CM2" s="124" t="s">
        <v>539</v>
      </c>
      <c r="CN2" s="122" t="s">
        <v>541</v>
      </c>
      <c r="CO2" s="125" t="s">
        <v>540</v>
      </c>
      <c r="CP2" s="96" t="s">
        <v>543</v>
      </c>
      <c r="CQ2" s="126" t="s">
        <v>544</v>
      </c>
      <c r="CR2" s="127" t="s">
        <v>545</v>
      </c>
      <c r="CS2" s="96" t="s">
        <v>546</v>
      </c>
      <c r="CT2" s="97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A3" s="128" t="s">
        <v>217</v>
      </c>
      <c r="B3" s="128">
        <f>IF(A3="","",_xlfn.XLOOKUP(A3,Tab_base[Nom + Prénom],Tab_base[Puce], ""))</f>
        <v>8050858</v>
      </c>
      <c r="C3" s="128" t="str">
        <f>IF(A3="","",_xlfn.XLOOKUP(A3,Tab_base[Nom + Prénom],Tab_base[Court],""))</f>
        <v>H65</v>
      </c>
      <c r="Y3" s="68"/>
      <c r="Z3" s="68"/>
      <c r="AA3" s="68"/>
      <c r="AB3" s="88"/>
      <c r="AD3" s="103"/>
      <c r="AE3" s="134"/>
      <c r="AF3" s="103"/>
      <c r="AG3" s="103"/>
      <c r="AI3" s="133"/>
      <c r="AK3" s="133"/>
      <c r="AL3" s="133"/>
      <c r="AP3" s="83"/>
      <c r="AQ3" s="84"/>
      <c r="AT3" s="87"/>
      <c r="AU3" s="88"/>
      <c r="AV3" s="88"/>
      <c r="CD3" s="117"/>
    </row>
    <row r="4" spans="1:103" x14ac:dyDescent="0.3">
      <c r="A4" s="128" t="s">
        <v>223</v>
      </c>
      <c r="B4" s="128">
        <f>IF(A4="","",_xlfn.XLOOKUP(A4,Tab_base[Nom + Prénom],Tab_base[Puce], ""))</f>
        <v>8581786</v>
      </c>
      <c r="C4" s="128" t="str">
        <f>IF(A4="","",_xlfn.XLOOKUP(A4,Tab_base[Nom + Prénom],Tab_base[Court],""))</f>
        <v>H21</v>
      </c>
      <c r="F4" s="76"/>
      <c r="G4" s="77"/>
      <c r="H4" s="78"/>
      <c r="Y4" s="68"/>
      <c r="Z4" s="68"/>
      <c r="AA4" s="68"/>
      <c r="AB4" s="68"/>
      <c r="AD4" s="103"/>
      <c r="AE4" s="135"/>
      <c r="AF4" s="103"/>
      <c r="AG4" s="103"/>
      <c r="AI4" s="133"/>
      <c r="AK4" s="133"/>
      <c r="AL4" s="133"/>
      <c r="AP4" s="83"/>
      <c r="AQ4" s="84"/>
      <c r="AT4" s="87"/>
      <c r="AU4" s="88"/>
      <c r="AV4" s="88"/>
      <c r="AY4" s="92"/>
      <c r="AZ4" s="93"/>
      <c r="BA4" s="94"/>
    </row>
    <row r="5" spans="1:103" x14ac:dyDescent="0.3">
      <c r="A5" s="128" t="s">
        <v>231</v>
      </c>
      <c r="B5" s="128">
        <f>IF(A5="","",_xlfn.XLOOKUP(A5,Tab_base[Nom + Prénom],Tab_base[Puce], ""))</f>
        <v>8500434</v>
      </c>
      <c r="C5" s="128" t="str">
        <f>IF(A5="","",_xlfn.XLOOKUP(A5,Tab_base[Nom + Prénom],Tab_base[Court],""))</f>
        <v>H45</v>
      </c>
      <c r="F5" s="76"/>
      <c r="G5" s="77"/>
      <c r="H5" s="78"/>
      <c r="Y5" s="69"/>
      <c r="Z5" s="68"/>
      <c r="AA5" s="68"/>
      <c r="AB5" s="68"/>
    </row>
    <row r="6" spans="1:103" x14ac:dyDescent="0.3">
      <c r="A6" s="128" t="s">
        <v>236</v>
      </c>
      <c r="B6" s="128">
        <f>IF(A6="","",_xlfn.XLOOKUP(A6,Tab_base[Nom + Prénom],Tab_base[Puce], ""))</f>
        <v>8171016</v>
      </c>
      <c r="C6" s="128" t="str">
        <f>IF(A6="","",_xlfn.XLOOKUP(A6,Tab_base[Nom + Prénom],Tab_base[Court],""))</f>
        <v>D20</v>
      </c>
      <c r="BB6" s="96" t="s">
        <v>1096</v>
      </c>
      <c r="BD6" s="97" t="s">
        <v>1148</v>
      </c>
      <c r="BI6" s="78"/>
      <c r="BJ6" s="78"/>
      <c r="BK6" s="78"/>
      <c r="CD6" s="117"/>
    </row>
    <row r="7" spans="1:103" x14ac:dyDescent="0.3">
      <c r="A7" s="128" t="s">
        <v>239</v>
      </c>
      <c r="B7" s="128">
        <f>IF(A7="","",_xlfn.XLOOKUP(A7,Tab_base[Nom + Prénom],Tab_base[Puce], ""))</f>
        <v>8534679</v>
      </c>
      <c r="C7" s="128" t="str">
        <f>IF(A7="","",_xlfn.XLOOKUP(A7,Tab_base[Nom + Prénom],Tab_base[Court],""))</f>
        <v>H14</v>
      </c>
      <c r="F7" s="76"/>
      <c r="G7" s="77"/>
      <c r="H7" s="78"/>
      <c r="AD7" s="103"/>
      <c r="AE7" s="135"/>
      <c r="AF7" s="103"/>
      <c r="AG7" s="103"/>
      <c r="AI7" s="133"/>
      <c r="AK7" s="133"/>
      <c r="AL7" s="133"/>
      <c r="CD7" s="117"/>
    </row>
    <row r="8" spans="1:103" x14ac:dyDescent="0.3">
      <c r="A8" s="128" t="s">
        <v>241</v>
      </c>
      <c r="B8" s="128">
        <f>IF(A8="","",_xlfn.XLOOKUP(A8,Tab_base[Nom + Prénom],Tab_base[Puce], ""))</f>
        <v>8534692</v>
      </c>
      <c r="C8" s="128" t="str">
        <f>IF(A8="","",_xlfn.XLOOKUP(A8,Tab_base[Nom + Prénom],Tab_base[Court],""))</f>
        <v>H40</v>
      </c>
      <c r="F8" s="76"/>
      <c r="G8" s="77"/>
      <c r="H8" s="78"/>
      <c r="AD8" s="103"/>
      <c r="AE8" s="135"/>
      <c r="AF8" s="103"/>
      <c r="AG8" s="103"/>
      <c r="AI8" s="133"/>
      <c r="AK8" s="133"/>
      <c r="AL8" s="133"/>
      <c r="CD8" s="117"/>
    </row>
    <row r="9" spans="1:103" x14ac:dyDescent="0.3">
      <c r="A9" s="128" t="s">
        <v>243</v>
      </c>
      <c r="B9" s="128">
        <f>IF(A9="","",_xlfn.XLOOKUP(A9,Tab_base[Nom + Prénom],Tab_base[Puce], ""))</f>
        <v>2158061</v>
      </c>
      <c r="C9" s="128" t="str">
        <f>IF(A9="","",_xlfn.XLOOKUP(A9,Tab_base[Nom + Prénom],Tab_base[Court],""))</f>
        <v>D10</v>
      </c>
      <c r="F9" s="76"/>
      <c r="G9" s="77"/>
      <c r="H9" s="78"/>
      <c r="AD9" s="103"/>
      <c r="CD9" s="117"/>
    </row>
    <row r="10" spans="1:103" x14ac:dyDescent="0.3">
      <c r="A10" s="128" t="s">
        <v>246</v>
      </c>
      <c r="B10" s="128">
        <f>IF(A10="","",_xlfn.XLOOKUP(A10,Tab_base[Nom + Prénom],Tab_base[Puce], ""))</f>
        <v>8545607</v>
      </c>
      <c r="C10" s="128" t="str">
        <f>IF(A10="","",_xlfn.XLOOKUP(A10,Tab_base[Nom + Prénom],Tab_base[Court],""))</f>
        <v>D70</v>
      </c>
      <c r="Y10" s="68"/>
    </row>
    <row r="11" spans="1:103" x14ac:dyDescent="0.3">
      <c r="A11" s="128" t="s">
        <v>257</v>
      </c>
      <c r="B11" s="128">
        <f>IF(A11="","",_xlfn.XLOOKUP(A11,Tab_base[Nom + Prénom],Tab_base[Puce], ""))</f>
        <v>205574</v>
      </c>
      <c r="C11" s="128" t="str">
        <f>IF(A11="","",_xlfn.XLOOKUP(A11,Tab_base[Nom + Prénom],Tab_base[Court],""))</f>
        <v>H10</v>
      </c>
      <c r="AD11" s="103"/>
      <c r="AO11" s="85"/>
      <c r="AP11" s="83"/>
      <c r="AQ11" s="84"/>
      <c r="AT11" s="87"/>
      <c r="AU11" s="88"/>
      <c r="AV11" s="88"/>
    </row>
    <row r="12" spans="1:103" x14ac:dyDescent="0.3">
      <c r="A12" s="128" t="s">
        <v>259</v>
      </c>
      <c r="B12" s="128">
        <f>IF(A12="","",_xlfn.XLOOKUP(A12,Tab_base[Nom + Prénom],Tab_base[Puce], ""))</f>
        <v>2027602</v>
      </c>
      <c r="C12" s="128" t="str">
        <f>IF(A12="","",_xlfn.XLOOKUP(A12,Tab_base[Nom + Prénom],Tab_base[Court],""))</f>
        <v>D10</v>
      </c>
      <c r="AD12" s="103"/>
      <c r="AO12" s="85"/>
      <c r="AP12" s="83"/>
      <c r="AQ12" s="84"/>
      <c r="AT12" s="87"/>
      <c r="AU12" s="88"/>
      <c r="AV12" s="88"/>
    </row>
    <row r="13" spans="1:103" x14ac:dyDescent="0.3">
      <c r="A13" s="128" t="s">
        <v>262</v>
      </c>
      <c r="B13" s="128">
        <f>IF(A13="","",_xlfn.XLOOKUP(A13,Tab_base[Nom + Prénom],Tab_base[Puce], ""))</f>
        <v>8310889</v>
      </c>
      <c r="C13" s="128" t="str">
        <f>IF(A13="","",_xlfn.XLOOKUP(A13,Tab_base[Nom + Prénom],Tab_base[Court],""))</f>
        <v>D35</v>
      </c>
      <c r="AD13" s="103"/>
      <c r="AE13" s="135"/>
      <c r="AF13" s="103"/>
      <c r="AG13" s="103"/>
      <c r="AT13" s="87"/>
      <c r="AU13" s="88"/>
      <c r="AV13" s="88"/>
    </row>
    <row r="14" spans="1:103" x14ac:dyDescent="0.3">
      <c r="A14" s="128" t="s">
        <v>265</v>
      </c>
      <c r="B14" s="128">
        <f>IF(A14="","",_xlfn.XLOOKUP(A14,Tab_base[Nom + Prénom],Tab_base[Puce], ""))</f>
        <v>8021989</v>
      </c>
      <c r="C14" s="128" t="str">
        <f>IF(A14="","",_xlfn.XLOOKUP(A14,Tab_base[Nom + Prénom],Tab_base[Court],""))</f>
        <v>H35</v>
      </c>
      <c r="AD14" s="103"/>
      <c r="AE14" s="135"/>
      <c r="AF14" s="103"/>
      <c r="AG14" s="103"/>
      <c r="AT14" s="87"/>
      <c r="AU14" s="88"/>
      <c r="AV14" s="88"/>
    </row>
    <row r="15" spans="1:103" x14ac:dyDescent="0.3">
      <c r="A15" s="128" t="s">
        <v>269</v>
      </c>
      <c r="B15" s="128">
        <f>IF(A15="","",_xlfn.XLOOKUP(A15,Tab_base[Nom + Prénom],Tab_base[Puce], ""))</f>
        <v>1890301</v>
      </c>
      <c r="C15" s="128" t="str">
        <f>IF(A15="","",_xlfn.XLOOKUP(A15,Tab_base[Nom + Prénom],Tab_base[Court],""))</f>
        <v>D55</v>
      </c>
      <c r="Y15" s="68"/>
      <c r="Z15" s="69"/>
      <c r="AA15" s="68"/>
      <c r="AB15" s="68"/>
      <c r="AD15" s="103"/>
      <c r="AE15" s="135"/>
      <c r="AF15" s="103"/>
      <c r="AG15" s="103"/>
      <c r="AI15" s="133"/>
      <c r="AT15" s="87"/>
      <c r="AU15" s="88"/>
      <c r="AV15" s="88"/>
    </row>
    <row r="16" spans="1:103" x14ac:dyDescent="0.3">
      <c r="A16" s="128" t="s">
        <v>272</v>
      </c>
      <c r="B16" s="128">
        <f>IF(A16="","",_xlfn.XLOOKUP(A16,Tab_base[Nom + Prénom],Tab_base[Puce], ""))</f>
        <v>8890305</v>
      </c>
      <c r="C16" s="128" t="str">
        <f>IF(A16="","",_xlfn.XLOOKUP(A16,Tab_base[Nom + Prénom],Tab_base[Court],""))</f>
        <v>H55</v>
      </c>
      <c r="Y16" s="68"/>
      <c r="Z16" s="68"/>
      <c r="AA16" s="68"/>
      <c r="AB16" s="68"/>
      <c r="AD16" s="103"/>
      <c r="AE16" s="135"/>
      <c r="AF16" s="103"/>
      <c r="AG16" s="103"/>
      <c r="AI16" s="133"/>
      <c r="AK16" s="133"/>
      <c r="AL16" s="133"/>
    </row>
    <row r="17" spans="1:83" x14ac:dyDescent="0.3">
      <c r="A17" s="128" t="s">
        <v>275</v>
      </c>
      <c r="B17" s="128">
        <f>IF(A17="","",_xlfn.XLOOKUP(A17,Tab_base[Nom + Prénom],Tab_base[Puce], ""))</f>
        <v>2027613</v>
      </c>
      <c r="C17" s="128" t="str">
        <f>IF(A17="","",_xlfn.XLOOKUP(A17,Tab_base[Nom + Prénom],Tab_base[Court],""))</f>
        <v>D35</v>
      </c>
      <c r="Y17" s="68"/>
      <c r="Z17" s="68"/>
      <c r="AA17" s="68"/>
      <c r="AB17" s="68"/>
      <c r="AD17" s="103"/>
      <c r="AE17" s="135"/>
      <c r="AF17" s="103"/>
      <c r="AG17" s="103"/>
    </row>
    <row r="18" spans="1:83" x14ac:dyDescent="0.3">
      <c r="A18" s="128" t="s">
        <v>277</v>
      </c>
      <c r="B18" s="128">
        <f>IF(A18="","",_xlfn.XLOOKUP(A18,Tab_base[Nom + Prénom],Tab_base[Puce], ""))</f>
        <v>1890311</v>
      </c>
      <c r="C18" s="128" t="str">
        <f>IF(A18="","",_xlfn.XLOOKUP(A18,Tab_base[Nom + Prénom],Tab_base[Court],""))</f>
        <v>H65</v>
      </c>
      <c r="F18" s="76"/>
      <c r="G18" s="77"/>
      <c r="H18" s="78"/>
      <c r="Y18" s="68"/>
      <c r="Z18" s="68"/>
      <c r="AA18" s="68"/>
      <c r="AB18" s="68"/>
      <c r="AI18" s="133"/>
      <c r="AK18" s="133"/>
      <c r="AL18" s="133"/>
    </row>
    <row r="19" spans="1:83" x14ac:dyDescent="0.3">
      <c r="A19" s="128" t="s">
        <v>279</v>
      </c>
      <c r="B19" s="128">
        <f>IF(A19="","",_xlfn.XLOOKUP(A19,Tab_base[Nom + Prénom],Tab_base[Puce], ""))</f>
        <v>2027608</v>
      </c>
      <c r="C19" s="128" t="str">
        <f>IF(A19="","",_xlfn.XLOOKUP(A19,Tab_base[Nom + Prénom],Tab_base[Court],""))</f>
        <v>H35</v>
      </c>
      <c r="F19" s="76"/>
      <c r="G19" s="77"/>
      <c r="H19" s="78"/>
      <c r="Y19" s="68"/>
      <c r="AI19" s="133"/>
      <c r="AK19" s="133"/>
      <c r="AL19" s="133"/>
    </row>
    <row r="20" spans="1:83" x14ac:dyDescent="0.3">
      <c r="A20" s="128" t="s">
        <v>282</v>
      </c>
      <c r="B20" s="128">
        <f>IF(A20="","",_xlfn.XLOOKUP(A20,Tab_base[Nom + Prénom],Tab_base[Puce], ""))</f>
        <v>8527790</v>
      </c>
      <c r="C20" s="128" t="str">
        <f>IF(A20="","",_xlfn.XLOOKUP(A20,Tab_base[Nom + Prénom],Tab_base[Court],""))</f>
        <v>H50</v>
      </c>
      <c r="Y20" s="68"/>
      <c r="Z20" s="68"/>
      <c r="AA20" s="68"/>
      <c r="AB20" s="68"/>
      <c r="AD20" s="103"/>
      <c r="AE20" s="135"/>
      <c r="AF20" s="103"/>
      <c r="AG20" s="103"/>
      <c r="AI20" s="133"/>
      <c r="AK20" s="133"/>
      <c r="AL20" s="133"/>
      <c r="AO20" s="85"/>
      <c r="AP20" s="86"/>
      <c r="AQ20" s="84"/>
      <c r="AT20" s="87"/>
      <c r="AU20" s="88"/>
      <c r="AV20" s="88"/>
      <c r="BN20" s="74"/>
      <c r="BO20" s="74"/>
      <c r="BP20" s="74"/>
      <c r="BS20" s="102"/>
      <c r="BT20" s="103"/>
      <c r="BU20" s="101"/>
    </row>
    <row r="21" spans="1:83" x14ac:dyDescent="0.3">
      <c r="A21" s="128" t="s">
        <v>284</v>
      </c>
      <c r="B21" s="128">
        <f>IF(A21="","",_xlfn.XLOOKUP(A21,Tab_base[Nom + Prénom],Tab_base[Puce], ""))</f>
        <v>8542857</v>
      </c>
      <c r="C21" s="128" t="str">
        <f>IF(A21="","",_xlfn.XLOOKUP(A21,Tab_base[Nom + Prénom],Tab_base[Court],""))</f>
        <v>H14</v>
      </c>
      <c r="F21" s="76"/>
      <c r="G21" s="77"/>
      <c r="H21" s="78"/>
      <c r="Y21" s="68"/>
      <c r="Z21" s="68"/>
      <c r="AA21" s="68"/>
      <c r="AB21" s="68"/>
      <c r="AD21" s="103"/>
      <c r="AE21" s="135"/>
      <c r="AF21" s="103"/>
      <c r="AG21" s="103"/>
      <c r="AI21" s="133"/>
      <c r="AK21" s="133"/>
      <c r="AL21" s="133"/>
      <c r="AO21" s="85"/>
      <c r="AP21" s="83"/>
      <c r="AQ21" s="84"/>
      <c r="AT21" s="87"/>
      <c r="AU21" s="88"/>
      <c r="AV21" s="88"/>
      <c r="BN21" s="74"/>
      <c r="BO21" s="74"/>
      <c r="BP21" s="74"/>
      <c r="BS21" s="102"/>
      <c r="BT21" s="104"/>
      <c r="BU21" s="101"/>
      <c r="CD21" s="117"/>
    </row>
    <row r="22" spans="1:83" x14ac:dyDescent="0.3">
      <c r="A22" s="128" t="s">
        <v>621</v>
      </c>
      <c r="B22" s="128">
        <f>IF(A22="","",_xlfn.XLOOKUP(A22,Tab_base[Nom + Prénom],Tab_base[Puce], ""))</f>
        <v>2158058</v>
      </c>
      <c r="C22" s="128" t="str">
        <f>IF(A22="","",_xlfn.XLOOKUP(A22,Tab_base[Nom + Prénom],Tab_base[Court],""))</f>
        <v>H12</v>
      </c>
      <c r="Y22" s="68"/>
      <c r="Z22" s="68"/>
      <c r="AA22" s="68"/>
      <c r="AB22" s="68"/>
      <c r="AO22" s="85"/>
      <c r="AP22" s="83"/>
      <c r="AQ22" s="84"/>
      <c r="AT22" s="87"/>
      <c r="AU22" s="88"/>
      <c r="AV22" s="88"/>
      <c r="BN22" s="74"/>
      <c r="BO22" s="74"/>
      <c r="BP22" s="74"/>
      <c r="BS22" s="102"/>
      <c r="BT22" s="104"/>
      <c r="BU22" s="101"/>
      <c r="CD22" s="117"/>
    </row>
    <row r="23" spans="1:83" x14ac:dyDescent="0.3">
      <c r="A23" s="128" t="s">
        <v>622</v>
      </c>
      <c r="B23" s="128">
        <f>IF(A23="","",_xlfn.XLOOKUP(A23,Tab_base[Nom + Prénom],Tab_base[Puce], ""))</f>
        <v>2027615</v>
      </c>
      <c r="C23" s="128" t="str">
        <f>IF(A23="","",_xlfn.XLOOKUP(A23,Tab_base[Nom + Prénom],Tab_base[Court],""))</f>
        <v>H35</v>
      </c>
      <c r="Y23" s="68"/>
      <c r="Z23" s="68"/>
      <c r="AA23" s="68"/>
      <c r="AB23" s="68"/>
      <c r="AO23" s="85"/>
      <c r="AP23" s="83"/>
      <c r="AQ23" s="84"/>
      <c r="AT23" s="87"/>
      <c r="AU23" s="88"/>
      <c r="AV23" s="88"/>
      <c r="BN23" s="74"/>
      <c r="BO23" s="74"/>
      <c r="BP23" s="74"/>
      <c r="BS23" s="102"/>
      <c r="BT23" s="104"/>
      <c r="BU23" s="101"/>
      <c r="CD23" s="117"/>
    </row>
    <row r="24" spans="1:83" x14ac:dyDescent="0.3">
      <c r="A24" s="128" t="s">
        <v>299</v>
      </c>
      <c r="B24" s="128">
        <f>IF(A24="","",_xlfn.XLOOKUP(A24,Tab_base[Nom + Prénom],Tab_base[Puce], ""))</f>
        <v>8008903</v>
      </c>
      <c r="C24" s="128" t="str">
        <f>IF(A24="","",_xlfn.XLOOKUP(A24,Tab_base[Nom + Prénom],Tab_base[Court],""))</f>
        <v>H65</v>
      </c>
      <c r="J24" s="66"/>
      <c r="K24" s="71"/>
      <c r="L24" s="70"/>
      <c r="M24" s="72"/>
      <c r="O24" s="67"/>
      <c r="P24" s="73"/>
      <c r="Q24" s="75"/>
      <c r="R24" s="74"/>
      <c r="BT24" s="105"/>
      <c r="BX24" s="110"/>
      <c r="BY24" s="111"/>
      <c r="BZ24" s="111"/>
      <c r="CD24" s="118"/>
    </row>
    <row r="25" spans="1:83" x14ac:dyDescent="0.3">
      <c r="A25" s="128" t="s">
        <v>305</v>
      </c>
      <c r="B25" s="128">
        <f>IF(A25="","",_xlfn.XLOOKUP(A25,Tab_base[Nom + Prénom],Tab_base[Puce], ""))</f>
        <v>8890304</v>
      </c>
      <c r="C25" s="128" t="str">
        <f>IF(A25="","",_xlfn.XLOOKUP(A25,Tab_base[Nom + Prénom],Tab_base[Court],""))</f>
        <v>D55</v>
      </c>
      <c r="J25" s="66"/>
      <c r="K25" s="71"/>
      <c r="L25" s="70"/>
      <c r="M25" s="72"/>
      <c r="O25" s="67"/>
      <c r="P25" s="73"/>
      <c r="Q25" s="75"/>
      <c r="R25" s="74"/>
      <c r="AD25" s="103"/>
      <c r="AE25" s="135"/>
      <c r="AF25" s="103"/>
      <c r="AG25" s="103"/>
      <c r="AI25" s="133"/>
      <c r="AK25" s="133"/>
      <c r="AL25" s="133"/>
      <c r="BT25" s="105"/>
      <c r="BX25" s="110"/>
      <c r="BY25" s="111"/>
      <c r="BZ25" s="111"/>
      <c r="CD25" s="118"/>
    </row>
    <row r="26" spans="1:83" x14ac:dyDescent="0.3">
      <c r="A26" s="128" t="s">
        <v>308</v>
      </c>
      <c r="B26" s="128">
        <f>IF(A26="","",_xlfn.XLOOKUP(A26,Tab_base[Nom + Prénom],Tab_base[Puce], ""))</f>
        <v>8890303</v>
      </c>
      <c r="C26" s="128" t="str">
        <f>IF(A26="","",_xlfn.XLOOKUP(A26,Tab_base[Nom + Prénom],Tab_base[Court],""))</f>
        <v>H75</v>
      </c>
      <c r="F26" s="76"/>
      <c r="G26" s="77"/>
      <c r="H26" s="78"/>
      <c r="Y26" s="68"/>
      <c r="BT26" s="105"/>
      <c r="CC26" s="119"/>
      <c r="CD26" s="120"/>
      <c r="CE26" s="121"/>
    </row>
    <row r="27" spans="1:83" x14ac:dyDescent="0.3">
      <c r="A27" s="128" t="s">
        <v>311</v>
      </c>
      <c r="B27" s="128">
        <f>IF(A27="","",_xlfn.XLOOKUP(A27,Tab_base[Nom + Prénom],Tab_base[Puce], ""))</f>
        <v>8547726</v>
      </c>
      <c r="C27" s="128" t="str">
        <f>IF(A27="","",_xlfn.XLOOKUP(A27,Tab_base[Nom + Prénom],Tab_base[Court],""))</f>
        <v>H65</v>
      </c>
      <c r="F27" s="76"/>
      <c r="G27" s="77"/>
      <c r="H27" s="78"/>
      <c r="Y27" s="68"/>
      <c r="Z27" s="68"/>
      <c r="AA27" s="68"/>
      <c r="AB27" s="87"/>
      <c r="AD27" s="103"/>
      <c r="AE27" s="135"/>
      <c r="AF27" s="103"/>
      <c r="AG27" s="103"/>
      <c r="AI27" s="133"/>
      <c r="AK27" s="133"/>
      <c r="AL27" s="133"/>
      <c r="AM27" s="79" t="s">
        <v>1074</v>
      </c>
      <c r="AO27" s="81">
        <v>5.4178240740740735E-2</v>
      </c>
      <c r="AP27" s="83" t="s">
        <v>1089</v>
      </c>
      <c r="AQ27" s="84" t="s">
        <v>1083</v>
      </c>
      <c r="AR27" s="57" t="s">
        <v>1074</v>
      </c>
      <c r="AT27" s="59">
        <v>5.8854166666666673E-2</v>
      </c>
      <c r="AU27" s="60" t="s">
        <v>1091</v>
      </c>
      <c r="AV27" s="60" t="s">
        <v>826</v>
      </c>
      <c r="AW27" s="65" t="s">
        <v>1076</v>
      </c>
      <c r="AY27" s="90">
        <v>3.0486111111111113E-2</v>
      </c>
      <c r="AZ27" s="94" t="s">
        <v>1139</v>
      </c>
      <c r="BA27" s="94" t="s">
        <v>1140</v>
      </c>
      <c r="BB27" s="96" t="s">
        <v>1095</v>
      </c>
      <c r="BD27" s="97" t="s">
        <v>1143</v>
      </c>
      <c r="BE27" s="98" t="s">
        <v>1149</v>
      </c>
      <c r="BF27" s="97" t="s">
        <v>1144</v>
      </c>
      <c r="BL27" s="49" t="s">
        <v>1084</v>
      </c>
      <c r="BM27" s="50">
        <v>0.36458333333333331</v>
      </c>
      <c r="BQ27" s="61" t="s">
        <v>74</v>
      </c>
      <c r="CC27" s="119"/>
      <c r="CD27" s="116"/>
      <c r="CE27" s="121"/>
    </row>
    <row r="28" spans="1:83" x14ac:dyDescent="0.3">
      <c r="A28" s="128" t="s">
        <v>314</v>
      </c>
      <c r="B28" s="128">
        <f>IF(A28="","",_xlfn.XLOOKUP(A28,Tab_base[Nom + Prénom],Tab_base[Puce], ""))</f>
        <v>2158056</v>
      </c>
      <c r="C28" s="128" t="str">
        <f>IF(A28="","",_xlfn.XLOOKUP(A28,Tab_base[Nom + Prénom],Tab_base[Court],""))</f>
        <v>D40</v>
      </c>
      <c r="F28" s="76"/>
      <c r="G28" s="77"/>
      <c r="H28" s="78"/>
      <c r="AD28" s="103"/>
      <c r="AE28" s="135"/>
      <c r="AF28" s="103"/>
      <c r="AG28" s="103"/>
    </row>
    <row r="29" spans="1:83" x14ac:dyDescent="0.3">
      <c r="A29" s="128" t="s">
        <v>317</v>
      </c>
      <c r="B29" s="128">
        <f>IF(A29="","",_xlfn.XLOOKUP(A29,Tab_base[Nom + Prénom],Tab_base[Puce], ""))</f>
        <v>8890301</v>
      </c>
      <c r="C29" s="128" t="str">
        <f>IF(A29="","",_xlfn.XLOOKUP(A29,Tab_base[Nom + Prénom],Tab_base[Court],""))</f>
        <v>D21</v>
      </c>
      <c r="CC29" s="119"/>
      <c r="CD29" s="116"/>
      <c r="CE29" s="121"/>
    </row>
    <row r="30" spans="1:83" x14ac:dyDescent="0.3">
      <c r="A30" s="128" t="s">
        <v>319</v>
      </c>
      <c r="B30" s="128">
        <f>IF(A30="","",_xlfn.XLOOKUP(A30,Tab_base[Nom + Prénom],Tab_base[Puce], ""))</f>
        <v>8280173</v>
      </c>
      <c r="C30" s="128" t="str">
        <f>IF(A30="","",_xlfn.XLOOKUP(A30,Tab_base[Nom + Prénom],Tab_base[Court],""))</f>
        <v>H50</v>
      </c>
      <c r="AT30" s="87"/>
      <c r="AU30" s="88"/>
      <c r="AV30" s="88"/>
      <c r="AY30" s="92"/>
      <c r="AZ30" s="94"/>
      <c r="BA30" s="94"/>
      <c r="BN30" s="74"/>
      <c r="BO30" s="74"/>
      <c r="BP30" s="74"/>
      <c r="BS30" s="102"/>
      <c r="BT30" s="103"/>
      <c r="BU30" s="101"/>
      <c r="CC30" s="119"/>
      <c r="CD30" s="116"/>
      <c r="CE30" s="121"/>
    </row>
    <row r="31" spans="1:83" x14ac:dyDescent="0.3">
      <c r="A31" s="128" t="s">
        <v>322</v>
      </c>
      <c r="B31" s="128">
        <f>IF(A31="","",_xlfn.XLOOKUP(A31,Tab_base[Nom + Prénom],Tab_base[Puce], ""))</f>
        <v>8212535</v>
      </c>
      <c r="C31" s="128" t="str">
        <f>IF(A31="","",_xlfn.XLOOKUP(A31,Tab_base[Nom + Prénom],Tab_base[Court],""))</f>
        <v>H20</v>
      </c>
      <c r="AY31" s="92"/>
      <c r="AZ31" s="94"/>
      <c r="BA31" s="94"/>
    </row>
    <row r="32" spans="1:83" x14ac:dyDescent="0.3">
      <c r="A32" s="128" t="s">
        <v>326</v>
      </c>
      <c r="B32" s="128">
        <f>IF(A32="","",_xlfn.XLOOKUP(A32,Tab_base[Nom + Prénom],Tab_base[Puce], ""))</f>
        <v>1890307</v>
      </c>
      <c r="C32" s="128" t="str">
        <f>IF(A32="","",_xlfn.XLOOKUP(A32,Tab_base[Nom + Prénom],Tab_base[Court],""))</f>
        <v>D65</v>
      </c>
      <c r="AD32" s="103"/>
      <c r="AE32" s="135"/>
      <c r="AF32" s="103"/>
      <c r="AG32" s="103"/>
      <c r="AY32" s="92"/>
      <c r="AZ32" s="94"/>
      <c r="BA32" s="94"/>
    </row>
    <row r="33" spans="1:98" x14ac:dyDescent="0.3">
      <c r="A33" s="128" t="s">
        <v>328</v>
      </c>
      <c r="B33" s="128">
        <f>IF(A33="","",_xlfn.XLOOKUP(A33,Tab_base[Nom + Prénom],Tab_base[Puce], ""))</f>
        <v>8005961</v>
      </c>
      <c r="C33" s="128" t="str">
        <f>IF(A33="","",_xlfn.XLOOKUP(A33,Tab_base[Nom + Prénom],Tab_base[Court],""))</f>
        <v>H65</v>
      </c>
      <c r="F33" s="76"/>
      <c r="G33" s="77"/>
      <c r="H33" s="78"/>
      <c r="J33" s="45"/>
      <c r="K33" s="45"/>
      <c r="M33" s="45"/>
      <c r="Y33" s="68"/>
      <c r="Z33" s="68"/>
      <c r="AA33" s="68"/>
      <c r="AB33" s="68"/>
      <c r="AD33" s="103"/>
      <c r="AE33" s="135"/>
      <c r="AF33" s="103"/>
      <c r="AG33" s="103"/>
      <c r="AI33" s="133"/>
      <c r="AL33" s="133"/>
      <c r="AN33" s="79"/>
      <c r="AO33" s="79"/>
      <c r="AQ33" s="79"/>
      <c r="AS33" s="57"/>
      <c r="AT33" s="87"/>
      <c r="AU33" s="88"/>
      <c r="AV33" s="88"/>
      <c r="AX33" s="65"/>
      <c r="AY33" s="95"/>
      <c r="AZ33" s="94"/>
      <c r="BA33" s="94"/>
      <c r="BB33" s="96" t="s">
        <v>1095</v>
      </c>
      <c r="BD33" s="99" t="s">
        <v>1146</v>
      </c>
      <c r="BE33" s="98" t="s">
        <v>1150</v>
      </c>
      <c r="BF33" s="99" t="s">
        <v>1145</v>
      </c>
      <c r="BI33" s="78"/>
      <c r="BJ33" s="78"/>
      <c r="BK33" s="78"/>
      <c r="BL33" s="49" t="s">
        <v>1086</v>
      </c>
      <c r="BN33" s="74"/>
      <c r="BO33" s="74"/>
      <c r="BP33" s="74"/>
      <c r="BQ33" s="61" t="s">
        <v>74</v>
      </c>
      <c r="BS33" s="102"/>
      <c r="BT33" s="103"/>
      <c r="BU33" s="101"/>
      <c r="CC33" s="119"/>
      <c r="CD33" s="116"/>
      <c r="CE33" s="121"/>
      <c r="CG33" s="43"/>
      <c r="CH33" s="43"/>
      <c r="CJ33" s="43"/>
      <c r="CL33" s="122"/>
      <c r="CM33" s="122"/>
      <c r="CO33" s="122"/>
      <c r="CQ33" s="96"/>
      <c r="CR33" s="96"/>
      <c r="CT33" s="96"/>
    </row>
    <row r="34" spans="1:98" x14ac:dyDescent="0.3">
      <c r="A34" s="128" t="s">
        <v>331</v>
      </c>
      <c r="B34" s="128">
        <f>IF(A34="","",_xlfn.XLOOKUP(A34,Tab_base[Nom + Prénom],Tab_base[Puce], ""))</f>
        <v>8533480</v>
      </c>
      <c r="C34" s="128" t="str">
        <f>IF(A34="","",_xlfn.XLOOKUP(A34,Tab_base[Nom + Prénom],Tab_base[Court],""))</f>
        <v>H40</v>
      </c>
      <c r="F34" s="76"/>
      <c r="G34" s="77"/>
      <c r="H34" s="78"/>
      <c r="J34" s="45"/>
      <c r="K34" s="45"/>
      <c r="M34" s="45"/>
      <c r="Y34" s="68"/>
      <c r="Z34" s="68"/>
      <c r="AA34" s="68"/>
      <c r="AB34" s="68"/>
      <c r="BF34" s="99"/>
    </row>
    <row r="35" spans="1:98" x14ac:dyDescent="0.3">
      <c r="A35" s="128" t="s">
        <v>334</v>
      </c>
      <c r="B35" s="128">
        <f>IF(A35="","",_xlfn.XLOOKUP(A35,Tab_base[Nom + Prénom],Tab_base[Puce], ""))</f>
        <v>2107868</v>
      </c>
      <c r="C35" s="128" t="str">
        <f>IF(A35="","",_xlfn.XLOOKUP(A35,Tab_base[Nom + Prénom],Tab_base[Court],""))</f>
        <v>D16</v>
      </c>
      <c r="Y35" s="68"/>
      <c r="Z35" s="68"/>
      <c r="AA35" s="68"/>
      <c r="AB35" s="68"/>
      <c r="BF35" s="99"/>
    </row>
    <row r="36" spans="1:98" x14ac:dyDescent="0.3">
      <c r="A36" s="128" t="s">
        <v>336</v>
      </c>
      <c r="B36" s="128">
        <f>IF(A36="","",_xlfn.XLOOKUP(A36,Tab_base[Nom + Prénom],Tab_base[Puce], ""))</f>
        <v>349306</v>
      </c>
      <c r="C36" s="128" t="str">
        <f>IF(A36="","",_xlfn.XLOOKUP(A36,Tab_base[Nom + Prénom],Tab_base[Court],""))</f>
        <v>H20</v>
      </c>
      <c r="F36" s="76"/>
      <c r="G36" s="77"/>
      <c r="H36" s="78"/>
      <c r="Y36" s="68"/>
      <c r="Z36" s="68"/>
      <c r="AA36" s="68"/>
      <c r="AB36" s="68"/>
      <c r="BF36" s="99"/>
    </row>
    <row r="37" spans="1:98" x14ac:dyDescent="0.3">
      <c r="A37" s="128" t="s">
        <v>343</v>
      </c>
      <c r="B37" s="128">
        <f>IF(A37="","",_xlfn.XLOOKUP(A37,Tab_base[Nom + Prénom],Tab_base[Puce], ""))</f>
        <v>8546861</v>
      </c>
      <c r="C37" s="128" t="str">
        <f>IF(A37="","",_xlfn.XLOOKUP(A37,Tab_base[Nom + Prénom],Tab_base[Court],""))</f>
        <v>D50</v>
      </c>
      <c r="Y37" s="68"/>
      <c r="Z37" s="68"/>
      <c r="AA37" s="68"/>
      <c r="AB37" s="68"/>
      <c r="AD37" s="103"/>
      <c r="AI37" s="133"/>
      <c r="AK37" s="133"/>
      <c r="AL37" s="133"/>
      <c r="AM37" s="79" t="s">
        <v>1075</v>
      </c>
      <c r="AO37" s="81">
        <v>2.9942129629629628E-2</v>
      </c>
      <c r="AP37" s="83" t="s">
        <v>1090</v>
      </c>
      <c r="AQ37" s="84" t="s">
        <v>1082</v>
      </c>
      <c r="AR37" s="57" t="s">
        <v>1075</v>
      </c>
      <c r="AT37" s="59">
        <v>3.4965277777777783E-2</v>
      </c>
      <c r="AU37" s="60" t="s">
        <v>1093</v>
      </c>
      <c r="AV37" s="60" t="s">
        <v>1092</v>
      </c>
      <c r="AW37" s="65" t="s">
        <v>1077</v>
      </c>
      <c r="AY37" s="90">
        <v>2.3298611111111107E-2</v>
      </c>
      <c r="AZ37" s="94" t="s">
        <v>1141</v>
      </c>
      <c r="BA37" s="94" t="s">
        <v>1142</v>
      </c>
      <c r="BB37" s="96" t="s">
        <v>1094</v>
      </c>
      <c r="BD37" s="97" t="s">
        <v>1151</v>
      </c>
      <c r="BE37" s="98" t="s">
        <v>1153</v>
      </c>
      <c r="BF37" s="99" t="s">
        <v>1152</v>
      </c>
      <c r="BL37" s="49" t="s">
        <v>1085</v>
      </c>
      <c r="BQ37" s="61" t="s">
        <v>135</v>
      </c>
      <c r="CC37" s="119"/>
      <c r="CD37" s="116"/>
      <c r="CE37" s="121"/>
    </row>
    <row r="38" spans="1:98" x14ac:dyDescent="0.3">
      <c r="A38" s="128" t="s">
        <v>346</v>
      </c>
      <c r="B38" s="128">
        <f>IF(A38="","",_xlfn.XLOOKUP(A38,Tab_base[Nom + Prénom],Tab_base[Puce], ""))</f>
        <v>8509002</v>
      </c>
      <c r="C38" s="128" t="str">
        <f>IF(A38="","",_xlfn.XLOOKUP(A38,Tab_base[Nom + Prénom],Tab_base[Court],""))</f>
        <v>H55</v>
      </c>
      <c r="E38" s="43"/>
      <c r="F38" s="77"/>
      <c r="G38" s="77"/>
      <c r="H38" s="77"/>
      <c r="J38" s="45"/>
      <c r="K38" s="45"/>
      <c r="M38" s="45"/>
      <c r="O38" s="49"/>
      <c r="P38" s="49"/>
      <c r="R38" s="49"/>
      <c r="AH38" s="54"/>
      <c r="AI38" s="54"/>
      <c r="AJ38" s="54"/>
      <c r="AN38" s="79"/>
      <c r="AO38" s="79"/>
      <c r="AQ38" s="79"/>
      <c r="AS38" s="57"/>
      <c r="AT38" s="57"/>
      <c r="AX38" s="65"/>
      <c r="AY38" s="65"/>
      <c r="CG38" s="43"/>
      <c r="CH38" s="43"/>
      <c r="CJ38" s="43"/>
      <c r="CL38" s="122"/>
      <c r="CM38" s="122"/>
      <c r="CO38" s="122"/>
      <c r="CQ38" s="96"/>
      <c r="CR38" s="96"/>
      <c r="CT38" s="96"/>
    </row>
    <row r="39" spans="1:98" x14ac:dyDescent="0.3">
      <c r="A39" s="128" t="s">
        <v>351</v>
      </c>
      <c r="B39" s="128">
        <f>IF(A39="","",_xlfn.XLOOKUP(A39,Tab_base[Nom + Prénom],Tab_base[Puce], ""))</f>
        <v>2158060</v>
      </c>
      <c r="C39" s="128" t="str">
        <f>IF(A39="","",_xlfn.XLOOKUP(A39,Tab_base[Nom + Prénom],Tab_base[Court],""))</f>
        <v>D50</v>
      </c>
      <c r="Y39" s="68"/>
      <c r="Z39" s="68"/>
      <c r="AB39" s="68"/>
    </row>
    <row r="40" spans="1:98" s="137" customFormat="1" x14ac:dyDescent="0.3">
      <c r="A40" s="143" t="s">
        <v>681</v>
      </c>
      <c r="B40" s="143"/>
      <c r="C40" s="143"/>
      <c r="D40" s="43"/>
      <c r="E40" s="41"/>
      <c r="F40" s="42"/>
      <c r="G40" s="43"/>
      <c r="H40" s="44"/>
      <c r="I40" s="45"/>
      <c r="J40" s="46"/>
      <c r="K40" s="47"/>
      <c r="L40" s="45"/>
      <c r="M40" s="48"/>
      <c r="N40" s="49"/>
      <c r="O40" s="50"/>
      <c r="P40" s="51"/>
      <c r="Q40" s="49"/>
      <c r="R40" s="52"/>
      <c r="S40" s="65"/>
      <c r="T40" s="65"/>
      <c r="U40" s="65"/>
      <c r="V40" s="65"/>
      <c r="W40" s="65"/>
      <c r="X40" s="57"/>
      <c r="Y40" s="57"/>
      <c r="Z40" s="57"/>
      <c r="AA40" s="57"/>
      <c r="AB40" s="57"/>
      <c r="AC40" s="61"/>
      <c r="AD40" s="61"/>
      <c r="AE40" s="61"/>
      <c r="AF40" s="61"/>
      <c r="AG40" s="61"/>
      <c r="AH40" s="53"/>
      <c r="AI40" s="53"/>
      <c r="AJ40" s="53"/>
      <c r="AK40" s="53"/>
      <c r="AL40" s="53"/>
      <c r="AM40" s="79"/>
      <c r="AN40" s="80"/>
      <c r="AO40" s="81"/>
      <c r="AP40" s="79"/>
      <c r="AQ40" s="82"/>
      <c r="AR40" s="57"/>
      <c r="AS40" s="58"/>
      <c r="AT40" s="59"/>
      <c r="AU40" s="60"/>
      <c r="AV40" s="60"/>
      <c r="AW40" s="65"/>
      <c r="AX40" s="89"/>
      <c r="AY40" s="90"/>
      <c r="AZ40" s="91"/>
      <c r="BA40" s="91"/>
      <c r="BB40" s="96"/>
      <c r="BC40" s="126"/>
      <c r="BD40" s="99"/>
      <c r="BE40" s="98"/>
      <c r="BF40" s="97"/>
      <c r="BG40" s="43"/>
      <c r="BH40" s="44"/>
      <c r="BI40" s="78"/>
      <c r="BJ40" s="78"/>
      <c r="BK40" s="78"/>
      <c r="BL40" s="49"/>
      <c r="BM40" s="50"/>
      <c r="BN40" s="52"/>
      <c r="BO40" s="52"/>
      <c r="BP40" s="52"/>
      <c r="BQ40" s="61"/>
      <c r="BR40" s="62"/>
      <c r="BS40" s="102"/>
      <c r="BT40" s="103"/>
      <c r="BU40" s="101"/>
      <c r="BV40" s="106"/>
      <c r="BW40" s="107"/>
      <c r="BX40" s="108"/>
      <c r="BY40" s="109"/>
      <c r="BZ40" s="109"/>
      <c r="CA40" s="112"/>
      <c r="CB40" s="113"/>
      <c r="CC40" s="119"/>
      <c r="CD40" s="116"/>
      <c r="CE40" s="121"/>
      <c r="CF40" s="43"/>
      <c r="CG40" s="41"/>
      <c r="CH40" s="42"/>
      <c r="CI40" s="43"/>
      <c r="CJ40" s="44"/>
      <c r="CK40" s="122"/>
      <c r="CL40" s="123"/>
      <c r="CM40" s="124"/>
      <c r="CN40" s="122"/>
      <c r="CO40" s="125"/>
      <c r="CP40" s="96"/>
      <c r="CQ40" s="126"/>
      <c r="CR40" s="127"/>
      <c r="CS40" s="96"/>
      <c r="CT40" s="97"/>
    </row>
    <row r="41" spans="1:98" x14ac:dyDescent="0.3">
      <c r="BD41" s="99"/>
      <c r="BE41" s="98"/>
      <c r="BI41" s="78"/>
      <c r="BJ41" s="78"/>
      <c r="BK41" s="78"/>
      <c r="BS41" s="102"/>
      <c r="BT41" s="103"/>
      <c r="BU41" s="101"/>
      <c r="CC41" s="119"/>
      <c r="CD41" s="116"/>
      <c r="CE41" s="121"/>
    </row>
    <row r="42" spans="1:98" x14ac:dyDescent="0.3">
      <c r="BD42" s="99"/>
      <c r="BE42" s="100"/>
      <c r="BI42" s="78"/>
      <c r="BJ42" s="78"/>
      <c r="BK42" s="78"/>
    </row>
    <row r="43" spans="1:98" x14ac:dyDescent="0.3">
      <c r="BI43" s="78"/>
      <c r="BJ43" s="78"/>
      <c r="BK43" s="78"/>
    </row>
    <row r="44" spans="1:98" x14ac:dyDescent="0.3">
      <c r="A44" s="130"/>
      <c r="BH44" s="43"/>
    </row>
    <row r="45" spans="1:98" x14ac:dyDescent="0.3">
      <c r="B45" s="128" t="str">
        <f>IF(A45="","",_xlfn.XLOOKUP(A45,Tab_base[Nom + Prénom],Tab_base[Puce], ""))</f>
        <v/>
      </c>
      <c r="C45" s="128" t="str">
        <f>IF(A45="","",_xlfn.XLOOKUP(A45,Tab_base[Nom + Prénom],Tab_base[Court],""))</f>
        <v/>
      </c>
    </row>
    <row r="46" spans="1:98" x14ac:dyDescent="0.3">
      <c r="B46" s="128" t="str">
        <f>IF(A46="","",_xlfn.XLOOKUP(A46,Tab_base[Nom + Prénom],Tab_base[Puce], ""))</f>
        <v/>
      </c>
      <c r="C46" s="128" t="str">
        <f>IF(A46="","",_xlfn.XLOOKUP(A46,Tab_base[Nom + Prénom],Tab_base[Court],""))</f>
        <v/>
      </c>
    </row>
    <row r="47" spans="1:98" ht="13.2" customHeight="1" x14ac:dyDescent="0.3">
      <c r="B47" s="128" t="str">
        <f>IF(A47="","",_xlfn.XLOOKUP(A47,Tab_base[Nom + Prénom],Tab_base[Puce], ""))</f>
        <v/>
      </c>
      <c r="C47" s="128" t="str">
        <f>IF(A47="","",_xlfn.XLOOKUP(A47,Tab_base[Nom + Prénom],Tab_base[Court],""))</f>
        <v/>
      </c>
    </row>
    <row r="48" spans="1:98" x14ac:dyDescent="0.3">
      <c r="B48" s="128" t="str">
        <f>IF(A48="","",_xlfn.XLOOKUP(A48,Tab_base[Nom + Prénom],Tab_base[Puce], ""))</f>
        <v/>
      </c>
      <c r="C48" s="128" t="str">
        <f>IF(A48="","",_xlfn.XLOOKUP(A48,Tab_base[Nom + Prénom],Tab_base[Court],""))</f>
        <v/>
      </c>
    </row>
    <row r="49" spans="2:3" x14ac:dyDescent="0.3">
      <c r="B49" s="128" t="str">
        <f>IF(A49="","",_xlfn.XLOOKUP(A49,Tab_base[Nom + Prénom],Tab_base[Puce], ""))</f>
        <v/>
      </c>
      <c r="C49" s="128" t="str">
        <f>IF(A49="","",_xlfn.XLOOKUP(A49,Tab_base[Nom + Prénom],Tab_base[Court],""))</f>
        <v/>
      </c>
    </row>
    <row r="50" spans="2:3" x14ac:dyDescent="0.3">
      <c r="B50" s="128" t="str">
        <f>IF(A50="","",_xlfn.XLOOKUP(A50,Tab_base[Nom + Prénom],Tab_base[Puce], ""))</f>
        <v/>
      </c>
      <c r="C50" s="128" t="str">
        <f>IF(A50="","",_xlfn.XLOOKUP(A50,Tab_base[Nom + Prénom],Tab_base[Court],""))</f>
        <v/>
      </c>
    </row>
    <row r="51" spans="2:3" x14ac:dyDescent="0.3">
      <c r="B51" s="128" t="str">
        <f>IF(A51="","",_xlfn.XLOOKUP(A51,Tab_base[Nom + Prénom],Tab_base[Puce], ""))</f>
        <v/>
      </c>
      <c r="C51" s="128" t="str">
        <f>IF(A51="","",_xlfn.XLOOKUP(A51,Tab_base[Nom + Prénom],Tab_base[Court],""))</f>
        <v/>
      </c>
    </row>
    <row r="52" spans="2:3" x14ac:dyDescent="0.3">
      <c r="B52" s="128" t="str">
        <f>IF(A52="","",_xlfn.XLOOKUP(A52,Tab_base[Nom + Prénom],Tab_base[Puce], ""))</f>
        <v/>
      </c>
      <c r="C52" s="128" t="str">
        <f>IF(A52="","",_xlfn.XLOOKUP(A52,Tab_base[Nom + Prénom],Tab_base[Court],""))</f>
        <v/>
      </c>
    </row>
    <row r="53" spans="2:3" x14ac:dyDescent="0.3">
      <c r="B53" s="128" t="str">
        <f>IF(A53="","",_xlfn.XLOOKUP(A53,Tab_base[Nom + Prénom],Tab_base[Puce], ""))</f>
        <v/>
      </c>
      <c r="C53" s="128" t="str">
        <f>IF(A53="","",_xlfn.XLOOKUP(A53,Tab_base[Nom + Prénom],Tab_base[Court],""))</f>
        <v/>
      </c>
    </row>
    <row r="54" spans="2:3" x14ac:dyDescent="0.3">
      <c r="B54" s="128" t="str">
        <f>IF(A54="","",_xlfn.XLOOKUP(A54,Tab_base[Nom + Prénom],Tab_base[Puce], ""))</f>
        <v/>
      </c>
      <c r="C54" s="128" t="str">
        <f>IF(A54="","",_xlfn.XLOOKUP(A54,Tab_base[Nom + Prénom],Tab_base[Court],""))</f>
        <v/>
      </c>
    </row>
    <row r="55" spans="2:3" x14ac:dyDescent="0.3">
      <c r="B55" s="128" t="str">
        <f>IF(A55="","",_xlfn.XLOOKUP(A55,Tab_base[Nom + Prénom],Tab_base[Puce], ""))</f>
        <v/>
      </c>
      <c r="C55" s="128" t="str">
        <f>IF(A55="","",_xlfn.XLOOKUP(A55,Tab_base[Nom + Prénom],Tab_base[Court],""))</f>
        <v/>
      </c>
    </row>
    <row r="56" spans="2:3" x14ac:dyDescent="0.3">
      <c r="B56" s="128" t="str">
        <f>IF(A56="","",_xlfn.XLOOKUP(A56,Tab_base[Nom + Prénom],Tab_base[Puce], ""))</f>
        <v/>
      </c>
      <c r="C56" s="128" t="str">
        <f>IF(A56="","",_xlfn.XLOOKUP(A56,Tab_base[Nom + Prénom],Tab_base[Court],""))</f>
        <v/>
      </c>
    </row>
    <row r="57" spans="2:3" x14ac:dyDescent="0.3">
      <c r="B57" s="128" t="str">
        <f>IF(A57="","",_xlfn.XLOOKUP(A57,Tab_base[Nom + Prénom],Tab_base[Puce], ""))</f>
        <v/>
      </c>
      <c r="C57" s="128" t="str">
        <f>IF(A57="","",_xlfn.XLOOKUP(A57,Tab_base[Nom + Prénom],Tab_base[Court],""))</f>
        <v/>
      </c>
    </row>
    <row r="58" spans="2:3" x14ac:dyDescent="0.3">
      <c r="B58" s="128" t="str">
        <f>IF(A58="","",_xlfn.XLOOKUP(A58,Tab_base[Nom + Prénom],Tab_base[Puce], ""))</f>
        <v/>
      </c>
      <c r="C58" s="128" t="str">
        <f>IF(A58="","",_xlfn.XLOOKUP(A58,Tab_base[Nom + Prénom],Tab_base[Court],""))</f>
        <v/>
      </c>
    </row>
    <row r="59" spans="2:3" x14ac:dyDescent="0.3">
      <c r="B59" s="128" t="str">
        <f>IF(A59="","",_xlfn.XLOOKUP(A59,Tab_base[Nom + Prénom],Tab_base[Puce], ""))</f>
        <v/>
      </c>
      <c r="C59" s="128" t="str">
        <f>IF(A59="","",_xlfn.XLOOKUP(A59,Tab_base[Nom + Prénom],Tab_base[Court],""))</f>
        <v/>
      </c>
    </row>
    <row r="60" spans="2:3" x14ac:dyDescent="0.3">
      <c r="B60" s="128" t="str">
        <f>IF(A60="","",_xlfn.XLOOKUP(A60,Tab_base[Nom + Prénom],Tab_base[Puce], ""))</f>
        <v/>
      </c>
      <c r="C60" s="128" t="str">
        <f>IF(A60="","",_xlfn.XLOOKUP(A60,Tab_base[Nom + Prénom],Tab_base[Court],""))</f>
        <v/>
      </c>
    </row>
    <row r="61" spans="2:3" x14ac:dyDescent="0.3">
      <c r="B61" s="128" t="str">
        <f>IF(A61="","",_xlfn.XLOOKUP(A61,Tab_base[Nom + Prénom],Tab_base[Puce], ""))</f>
        <v/>
      </c>
      <c r="C61" s="128" t="str">
        <f>IF(A61="","",_xlfn.XLOOKUP(A61,Tab_base[Nom + Prénom],Tab_base[Court],""))</f>
        <v/>
      </c>
    </row>
    <row r="62" spans="2:3" x14ac:dyDescent="0.3">
      <c r="B62" s="128" t="str">
        <f>IF(A62="","",_xlfn.XLOOKUP(A62,Tab_base[Nom + Prénom],Tab_base[Puce], ""))</f>
        <v/>
      </c>
      <c r="C62" s="128" t="str">
        <f>IF(A62="","",_xlfn.XLOOKUP(A62,Tab_base[Nom + Prénom],Tab_base[Court],""))</f>
        <v/>
      </c>
    </row>
    <row r="63" spans="2:3" x14ac:dyDescent="0.3">
      <c r="B63" s="128" t="str">
        <f>IF(A63="","",_xlfn.XLOOKUP(A63,Tab_base[Nom + Prénom],Tab_base[Puce], ""))</f>
        <v/>
      </c>
      <c r="C63" s="128" t="str">
        <f>IF(A63="","",_xlfn.XLOOKUP(A63,Tab_base[Nom + Prénom],Tab_base[Court],""))</f>
        <v/>
      </c>
    </row>
    <row r="64" spans="2:3" x14ac:dyDescent="0.3">
      <c r="B64" s="128" t="str">
        <f>IF(A64="","",_xlfn.XLOOKUP(A64,Tab_base[Nom + Prénom],Tab_base[Puce], ""))</f>
        <v/>
      </c>
      <c r="C64" s="128" t="str">
        <f>IF(A64="","",_xlfn.XLOOKUP(A64,Tab_base[Nom + Prénom],Tab_base[Court],""))</f>
        <v/>
      </c>
    </row>
    <row r="65" spans="2:3" x14ac:dyDescent="0.3">
      <c r="B65" s="128" t="str">
        <f>IF(A65="","",_xlfn.XLOOKUP(A65,Tab_base[Nom + Prénom],Tab_base[Puce], ""))</f>
        <v/>
      </c>
      <c r="C65" s="128" t="str">
        <f>IF(A65="","",_xlfn.XLOOKUP(A65,Tab_base[Nom + Prénom],Tab_base[Court],""))</f>
        <v/>
      </c>
    </row>
    <row r="66" spans="2:3" x14ac:dyDescent="0.3">
      <c r="B66" s="128" t="str">
        <f>IF(A66="","",_xlfn.XLOOKUP(A66,Tab_base[Nom + Prénom],Tab_base[Puce], ""))</f>
        <v/>
      </c>
      <c r="C66" s="128" t="str">
        <f>IF(A66="","",_xlfn.XLOOKUP(A66,Tab_base[Nom + Prénom],Tab_base[Court],""))</f>
        <v/>
      </c>
    </row>
    <row r="67" spans="2:3" x14ac:dyDescent="0.3">
      <c r="B67" s="128" t="str">
        <f>IF(A67="","",_xlfn.XLOOKUP(A67,Tab_base[Nom + Prénom],Tab_base[Puce], ""))</f>
        <v/>
      </c>
      <c r="C67" s="128" t="str">
        <f>IF(A67="","",_xlfn.XLOOKUP(A67,Tab_base[Nom + Prénom],Tab_base[Court],""))</f>
        <v/>
      </c>
    </row>
    <row r="68" spans="2:3" x14ac:dyDescent="0.3">
      <c r="B68" s="128" t="str">
        <f>IF(A68="","",_xlfn.XLOOKUP(A68,Tab_base[Nom + Prénom],Tab_base[Puce], ""))</f>
        <v/>
      </c>
      <c r="C68" s="128" t="str">
        <f>IF(A68="","",_xlfn.XLOOKUP(A68,Tab_base[Nom + Prénom],Tab_base[Court],""))</f>
        <v/>
      </c>
    </row>
    <row r="69" spans="2:3" x14ac:dyDescent="0.3">
      <c r="B69" s="128" t="str">
        <f>IF(A69="","",_xlfn.XLOOKUP(A69,Tab_base[Nom + Prénom],Tab_base[Puce], ""))</f>
        <v/>
      </c>
      <c r="C69" s="128" t="str">
        <f>IF(A69="","",_xlfn.XLOOKUP(A69,Tab_base[Nom + Prénom],Tab_base[Court],""))</f>
        <v/>
      </c>
    </row>
    <row r="70" spans="2:3" x14ac:dyDescent="0.3">
      <c r="B70" s="128" t="str">
        <f>IF(A70="","",_xlfn.XLOOKUP(A70,Tab_base[Nom + Prénom],Tab_base[Puce], ""))</f>
        <v/>
      </c>
      <c r="C70" s="128" t="str">
        <f>IF(A70="","",_xlfn.XLOOKUP(A70,Tab_base[Nom + Prénom],Tab_base[Court],""))</f>
        <v/>
      </c>
    </row>
    <row r="71" spans="2:3" x14ac:dyDescent="0.3">
      <c r="B71" s="128" t="str">
        <f>IF(A71="","",_xlfn.XLOOKUP(A71,Tab_base[Nom + Prénom],Tab_base[Puce], ""))</f>
        <v/>
      </c>
      <c r="C71" s="128" t="str">
        <f>IF(A71="","",_xlfn.XLOOKUP(A71,Tab_base[Nom + Prénom],Tab_base[Court],""))</f>
        <v/>
      </c>
    </row>
    <row r="72" spans="2:3" x14ac:dyDescent="0.3">
      <c r="B72" s="128" t="str">
        <f>IF(A72="","",_xlfn.XLOOKUP(A72,Tab_base[Nom + Prénom],Tab_base[Puce], ""))</f>
        <v/>
      </c>
      <c r="C72" s="128" t="str">
        <f>IF(A72="","",_xlfn.XLOOKUP(A72,Tab_base[Nom + Prénom],Tab_base[Court],""))</f>
        <v/>
      </c>
    </row>
    <row r="73" spans="2:3" x14ac:dyDescent="0.3">
      <c r="B73" s="128" t="str">
        <f>IF(A73="","",_xlfn.XLOOKUP(A73,Tab_base[Nom + Prénom],Tab_base[Puce], ""))</f>
        <v/>
      </c>
      <c r="C73" s="128" t="str">
        <f>IF(A73="","",_xlfn.XLOOKUP(A73,Tab_base[Nom + Prénom],Tab_base[Court],""))</f>
        <v/>
      </c>
    </row>
    <row r="74" spans="2:3" x14ac:dyDescent="0.3">
      <c r="B74" s="128" t="str">
        <f>IF(A74="","",_xlfn.XLOOKUP(A74,Tab_base[Nom + Prénom],Tab_base[Puce], ""))</f>
        <v/>
      </c>
      <c r="C74" s="128" t="str">
        <f>IF(A74="","",_xlfn.XLOOKUP(A74,Tab_base[Nom + Prénom],Tab_base[Court],""))</f>
        <v/>
      </c>
    </row>
    <row r="75" spans="2:3" x14ac:dyDescent="0.3">
      <c r="B75" s="128" t="str">
        <f>IF(A75="","",_xlfn.XLOOKUP(A75,Tab_base[Nom + Prénom],Tab_base[Puce], ""))</f>
        <v/>
      </c>
      <c r="C75" s="128" t="str">
        <f>IF(A75="","",_xlfn.XLOOKUP(A75,Tab_base[Nom + Prénom],Tab_base[Court],""))</f>
        <v/>
      </c>
    </row>
    <row r="76" spans="2:3" x14ac:dyDescent="0.3">
      <c r="B76" s="128" t="str">
        <f>IF(A76="","",_xlfn.XLOOKUP(A76,Tab_base[Nom + Prénom],Tab_base[Puce], ""))</f>
        <v/>
      </c>
      <c r="C76" s="128" t="str">
        <f>IF(A76="","",_xlfn.XLOOKUP(A76,Tab_base[Nom + Prénom],Tab_base[Court],""))</f>
        <v/>
      </c>
    </row>
    <row r="77" spans="2:3" x14ac:dyDescent="0.3">
      <c r="B77" s="128" t="str">
        <f>IF(A77="","",_xlfn.XLOOKUP(A77,Tab_base[Nom + Prénom],Tab_base[Puce], ""))</f>
        <v/>
      </c>
      <c r="C77" s="128" t="str">
        <f>IF(A77="","",_xlfn.XLOOKUP(A77,Tab_base[Nom + Prénom],Tab_base[Court],""))</f>
        <v/>
      </c>
    </row>
    <row r="78" spans="2:3" x14ac:dyDescent="0.3">
      <c r="B78" s="128" t="str">
        <f>IF(A78="","",_xlfn.XLOOKUP(A78,Tab_base[Nom + Prénom],Tab_base[Puce], ""))</f>
        <v/>
      </c>
      <c r="C78" s="128" t="str">
        <f>IF(A78="","",_xlfn.XLOOKUP(A78,Tab_base[Nom + Prénom],Tab_base[Court],""))</f>
        <v/>
      </c>
    </row>
    <row r="79" spans="2:3" x14ac:dyDescent="0.3">
      <c r="B79" s="128" t="str">
        <f>IF(A79="","",_xlfn.XLOOKUP(A79,Tab_base[Nom + Prénom],Tab_base[Puce], ""))</f>
        <v/>
      </c>
      <c r="C79" s="128" t="str">
        <f>IF(A79="","",_xlfn.XLOOKUP(A79,Tab_base[Nom + Prénom],Tab_base[Court],""))</f>
        <v/>
      </c>
    </row>
    <row r="80" spans="2:3" x14ac:dyDescent="0.3">
      <c r="B80" s="128" t="str">
        <f>IF(A80="","",_xlfn.XLOOKUP(A80,Tab_base[Nom + Prénom],Tab_base[Puce], ""))</f>
        <v/>
      </c>
      <c r="C80" s="128" t="str">
        <f>IF(A80="","",_xlfn.XLOOKUP(A80,Tab_base[Nom + Prénom],Tab_base[Court],""))</f>
        <v/>
      </c>
    </row>
    <row r="81" spans="2:3" x14ac:dyDescent="0.3">
      <c r="B81" s="128" t="str">
        <f>IF(A81="","",_xlfn.XLOOKUP(A81,Tab_base[Nom + Prénom],Tab_base[Puce], ""))</f>
        <v/>
      </c>
      <c r="C81" s="128" t="str">
        <f>IF(A81="","",_xlfn.XLOOKUP(A81,Tab_base[Nom + Prénom],Tab_base[Court],""))</f>
        <v/>
      </c>
    </row>
    <row r="82" spans="2:3" x14ac:dyDescent="0.3">
      <c r="B82" s="128" t="str">
        <f>IF(A82="","",_xlfn.XLOOKUP(A82,Tab_base[Nom + Prénom],Tab_base[Puce], ""))</f>
        <v/>
      </c>
      <c r="C82" s="128" t="str">
        <f>IF(A82="","",_xlfn.XLOOKUP(A82,Tab_base[Nom + Prénom],Tab_base[Court],""))</f>
        <v/>
      </c>
    </row>
    <row r="83" spans="2:3" x14ac:dyDescent="0.3">
      <c r="B83" s="128" t="str">
        <f>IF(A83="","",_xlfn.XLOOKUP(A83,Tab_base[Nom + Prénom],Tab_base[Puce], ""))</f>
        <v/>
      </c>
      <c r="C83" s="128" t="str">
        <f>IF(A83="","",_xlfn.XLOOKUP(A83,Tab_base[Nom + Prénom],Tab_base[Court],""))</f>
        <v/>
      </c>
    </row>
    <row r="84" spans="2:3" x14ac:dyDescent="0.3">
      <c r="B84" s="128" t="str">
        <f>IF(A84="","",_xlfn.XLOOKUP(A84,Tab_base[Nom + Prénom],Tab_base[Puce], ""))</f>
        <v/>
      </c>
      <c r="C84" s="128" t="str">
        <f>IF(A84="","",_xlfn.XLOOKUP(A84,Tab_base[Nom + Prénom],Tab_base[Court],""))</f>
        <v/>
      </c>
    </row>
    <row r="85" spans="2:3" x14ac:dyDescent="0.3">
      <c r="B85" s="128" t="str">
        <f>IF(A85="","",_xlfn.XLOOKUP(A85,Tab_base[Nom + Prénom],Tab_base[Puce], ""))</f>
        <v/>
      </c>
      <c r="C85" s="128" t="str">
        <f>IF(A85="","",_xlfn.XLOOKUP(A85,Tab_base[Nom + Prénom],Tab_base[Court],""))</f>
        <v/>
      </c>
    </row>
    <row r="86" spans="2:3" x14ac:dyDescent="0.3">
      <c r="B86" s="128" t="str">
        <f>IF(A86="","",_xlfn.XLOOKUP(A86,Tab_base[Nom + Prénom],Tab_base[Puce], ""))</f>
        <v/>
      </c>
      <c r="C86" s="128" t="str">
        <f>IF(A86="","",_xlfn.XLOOKUP(A86,Tab_base[Nom + Prénom],Tab_base[Court],""))</f>
        <v/>
      </c>
    </row>
    <row r="87" spans="2:3" x14ac:dyDescent="0.3">
      <c r="B87" s="128" t="str">
        <f>IF(A87="","",_xlfn.XLOOKUP(A87,Tab_base[Nom + Prénom],Tab_base[Puce], ""))</f>
        <v/>
      </c>
      <c r="C87" s="128" t="str">
        <f>IF(A87="","",_xlfn.XLOOKUP(A87,Tab_base[Nom + Prénom],Tab_base[Court],""))</f>
        <v/>
      </c>
    </row>
    <row r="88" spans="2:3" x14ac:dyDescent="0.3">
      <c r="B88" s="128" t="str">
        <f>IF(A88="","",_xlfn.XLOOKUP(A88,Tab_base[Nom + Prénom],Tab_base[Puce], ""))</f>
        <v/>
      </c>
      <c r="C88" s="128" t="str">
        <f>IF(A88="","",_xlfn.XLOOKUP(A88,Tab_base[Nom + Prénom],Tab_base[Court],""))</f>
        <v/>
      </c>
    </row>
    <row r="89" spans="2:3" x14ac:dyDescent="0.3">
      <c r="B89" s="128" t="str">
        <f>IF(A89="","",_xlfn.XLOOKUP(A89,Tab_base[Nom + Prénom],Tab_base[Puce], ""))</f>
        <v/>
      </c>
      <c r="C89" s="128" t="str">
        <f>IF(A89="","",_xlfn.XLOOKUP(A89,Tab_base[Nom + Prénom],Tab_base[Court],""))</f>
        <v/>
      </c>
    </row>
    <row r="90" spans="2:3" x14ac:dyDescent="0.3">
      <c r="B90" s="128" t="str">
        <f>IF(A90="","",_xlfn.XLOOKUP(A90,Tab_base[Nom + Prénom],Tab_base[Puce], ""))</f>
        <v/>
      </c>
      <c r="C90" s="128" t="str">
        <f>IF(A90="","",_xlfn.XLOOKUP(A90,Tab_base[Nom + Prénom],Tab_base[Court],""))</f>
        <v/>
      </c>
    </row>
    <row r="91" spans="2:3" x14ac:dyDescent="0.3">
      <c r="B91" s="128" t="str">
        <f>IF(A91="","",_xlfn.XLOOKUP(A91,Tab_base[Nom + Prénom],Tab_base[Puce], ""))</f>
        <v/>
      </c>
      <c r="C91" s="128" t="str">
        <f>IF(A91="","",_xlfn.XLOOKUP(A91,Tab_base[Nom + Prénom],Tab_base[Court],""))</f>
        <v/>
      </c>
    </row>
    <row r="92" spans="2:3" x14ac:dyDescent="0.3">
      <c r="B92" s="128" t="str">
        <f>IF(A92="","",_xlfn.XLOOKUP(A92,Tab_base[Nom + Prénom],Tab_base[Puce], ""))</f>
        <v/>
      </c>
      <c r="C92" s="128" t="str">
        <f>IF(A92="","",_xlfn.XLOOKUP(A92,Tab_base[Nom + Prénom],Tab_base[Court],""))</f>
        <v/>
      </c>
    </row>
    <row r="93" spans="2:3" x14ac:dyDescent="0.3">
      <c r="B93" s="128" t="str">
        <f>IF(A93="","",_xlfn.XLOOKUP(A93,Tab_base[Nom + Prénom],Tab_base[Puce], ""))</f>
        <v/>
      </c>
      <c r="C93" s="128" t="str">
        <f>IF(A93="","",_xlfn.XLOOKUP(A93,Tab_base[Nom + Prénom],Tab_base[Court],""))</f>
        <v/>
      </c>
    </row>
    <row r="94" spans="2:3" x14ac:dyDescent="0.3">
      <c r="B94" s="128" t="str">
        <f>IF(A94="","",_xlfn.XLOOKUP(A94,Tab_base[Nom + Prénom],Tab_base[Puce], ""))</f>
        <v/>
      </c>
      <c r="C94" s="128" t="str">
        <f>IF(A94="","",_xlfn.XLOOKUP(A94,Tab_base[Nom + Prénom],Tab_base[Court],""))</f>
        <v/>
      </c>
    </row>
    <row r="95" spans="2:3" x14ac:dyDescent="0.3">
      <c r="B95" s="128" t="str">
        <f>IF(A95="","",_xlfn.XLOOKUP(A95,Tab_base[Nom + Prénom],Tab_base[Puce], ""))</f>
        <v/>
      </c>
      <c r="C95" s="128" t="str">
        <f>IF(A95="","",_xlfn.XLOOKUP(A95,Tab_base[Nom + Prénom],Tab_base[Court],""))</f>
        <v/>
      </c>
    </row>
    <row r="96" spans="2:3" x14ac:dyDescent="0.3">
      <c r="B96" s="128" t="str">
        <f>IF(A96="","",_xlfn.XLOOKUP(A96,Tab_base[Nom + Prénom],Tab_base[Puce], ""))</f>
        <v/>
      </c>
      <c r="C96" s="128" t="str">
        <f>IF(A96="","",_xlfn.XLOOKUP(A96,Tab_base[Nom + Prénom],Tab_base[Court],""))</f>
        <v/>
      </c>
    </row>
    <row r="97" spans="2:3" x14ac:dyDescent="0.3">
      <c r="B97" s="128" t="str">
        <f>IF(A97="","",_xlfn.XLOOKUP(A97,Tab_base[Nom + Prénom],Tab_base[Puce], ""))</f>
        <v/>
      </c>
      <c r="C97" s="128" t="str">
        <f>IF(A97="","",_xlfn.XLOOKUP(A97,Tab_base[Nom + Prénom],Tab_base[Court],""))</f>
        <v/>
      </c>
    </row>
    <row r="98" spans="2:3" x14ac:dyDescent="0.3">
      <c r="B98" s="128" t="str">
        <f>IF(A98="","",_xlfn.XLOOKUP(A98,Tab_base[Nom + Prénom],Tab_base[Puce], ""))</f>
        <v/>
      </c>
      <c r="C98" s="128" t="str">
        <f>IF(A98="","",_xlfn.XLOOKUP(A98,Tab_base[Nom + Prénom],Tab_base[Court],""))</f>
        <v/>
      </c>
    </row>
    <row r="99" spans="2:3" x14ac:dyDescent="0.3">
      <c r="B99" s="128" t="str">
        <f>IF(A99="","",_xlfn.XLOOKUP(A99,Tab_base[Nom + Prénom],Tab_base[Puce], ""))</f>
        <v/>
      </c>
      <c r="C99" s="128" t="str">
        <f>IF(A99="","",_xlfn.XLOOKUP(A99,Tab_base[Nom + Prénom],Tab_base[Court],""))</f>
        <v/>
      </c>
    </row>
    <row r="100" spans="2:3" x14ac:dyDescent="0.3">
      <c r="B100" s="128" t="str">
        <f>IF(A100="","",_xlfn.XLOOKUP(A100,Tab_base[Nom + Prénom],Tab_base[Puce], ""))</f>
        <v/>
      </c>
      <c r="C100" s="128" t="str">
        <f>IF(A100="","",_xlfn.XLOOKUP(A100,Tab_base[Nom + Prénom],Tab_base[Court],""))</f>
        <v/>
      </c>
    </row>
    <row r="101" spans="2:3" x14ac:dyDescent="0.3">
      <c r="B101" s="128" t="str">
        <f>IF(A101="","",_xlfn.XLOOKUP(A101,Tab_base[Nom + Prénom],Tab_base[Puce], ""))</f>
        <v/>
      </c>
      <c r="C101" s="128" t="str">
        <f>IF(A101="","",_xlfn.XLOOKUP(A101,Tab_base[Nom + Prénom],Tab_base[Court],""))</f>
        <v/>
      </c>
    </row>
    <row r="102" spans="2:3" x14ac:dyDescent="0.3">
      <c r="B102" s="128" t="str">
        <f>IF(A102="","",_xlfn.XLOOKUP(A102,Tab_base[Nom + Prénom],Tab_base[Puce], ""))</f>
        <v/>
      </c>
      <c r="C102" s="128" t="str">
        <f>IF(A102="","",_xlfn.XLOOKUP(A102,Tab_base[Nom + Prénom],Tab_base[Court],""))</f>
        <v/>
      </c>
    </row>
    <row r="103" spans="2:3" x14ac:dyDescent="0.3">
      <c r="B103" s="128" t="str">
        <f>IF(A103="","",_xlfn.XLOOKUP(A103,Tab_base[Nom + Prénom],Tab_base[Puce], ""))</f>
        <v/>
      </c>
      <c r="C103" s="128" t="str">
        <f>IF(A103="","",_xlfn.XLOOKUP(A103,Tab_base[Nom + Prénom],Tab_base[Court],""))</f>
        <v/>
      </c>
    </row>
    <row r="104" spans="2:3" x14ac:dyDescent="0.3">
      <c r="B104" s="128" t="str">
        <f>IF(A104="","",_xlfn.XLOOKUP(A104,Tab_base[Nom + Prénom],Tab_base[Puce], ""))</f>
        <v/>
      </c>
      <c r="C104" s="128" t="str">
        <f>IF(A104="","",_xlfn.XLOOKUP(A104,Tab_base[Nom + Prénom],Tab_base[Court],""))</f>
        <v/>
      </c>
    </row>
    <row r="105" spans="2:3" x14ac:dyDescent="0.3">
      <c r="B105" s="128" t="str">
        <f>IF(A105="","",_xlfn.XLOOKUP(A105,Tab_base[Nom + Prénom],Tab_base[Puce], ""))</f>
        <v/>
      </c>
      <c r="C105" s="128" t="str">
        <f>IF(A105="","",_xlfn.XLOOKUP(A105,Tab_base[Nom + Prénom],Tab_base[Court],""))</f>
        <v/>
      </c>
    </row>
    <row r="106" spans="2:3" x14ac:dyDescent="0.3">
      <c r="B106" s="128" t="str">
        <f>IF(A106="","",_xlfn.XLOOKUP(A106,Tab_base[Nom + Prénom],Tab_base[Puce], ""))</f>
        <v/>
      </c>
      <c r="C106" s="128" t="str">
        <f>IF(A106="","",_xlfn.XLOOKUP(A106,Tab_base[Nom + Prénom],Tab_base[Court],""))</f>
        <v/>
      </c>
    </row>
    <row r="107" spans="2:3" x14ac:dyDescent="0.3">
      <c r="B107" s="128" t="str">
        <f>IF(A107="","",_xlfn.XLOOKUP(A107,Tab_base[Nom + Prénom],Tab_base[Puce], ""))</f>
        <v/>
      </c>
      <c r="C107" s="128" t="str">
        <f>IF(A107="","",_xlfn.XLOOKUP(A107,Tab_base[Nom + Prénom],Tab_base[Court],""))</f>
        <v/>
      </c>
    </row>
    <row r="108" spans="2:3" x14ac:dyDescent="0.3">
      <c r="B108" s="128" t="str">
        <f>IF(A108="","",_xlfn.XLOOKUP(A108,Tab_base[Nom + Prénom],Tab_base[Puce], ""))</f>
        <v/>
      </c>
      <c r="C108" s="128" t="str">
        <f>IF(A108="","",_xlfn.XLOOKUP(A108,Tab_base[Nom + Prénom],Tab_base[Court],""))</f>
        <v/>
      </c>
    </row>
    <row r="109" spans="2:3" x14ac:dyDescent="0.3">
      <c r="B109" s="128" t="str">
        <f>IF(A109="","",_xlfn.XLOOKUP(A109,Tab_base[Nom + Prénom],Tab_base[Puce], ""))</f>
        <v/>
      </c>
      <c r="C109" s="128" t="str">
        <f>IF(A109="","",_xlfn.XLOOKUP(A109,Tab_base[Nom + Prénom],Tab_base[Court],""))</f>
        <v/>
      </c>
    </row>
    <row r="110" spans="2:3" x14ac:dyDescent="0.3">
      <c r="B110" s="128" t="str">
        <f>IF(A110="","",_xlfn.XLOOKUP(A110,Tab_base[Nom + Prénom],Tab_base[Puce], ""))</f>
        <v/>
      </c>
      <c r="C110" s="128" t="str">
        <f>IF(A110="","",_xlfn.XLOOKUP(A110,Tab_base[Nom + Prénom],Tab_base[Court],""))</f>
        <v/>
      </c>
    </row>
    <row r="111" spans="2:3" x14ac:dyDescent="0.3">
      <c r="B111" s="128" t="str">
        <f>IF(A111="","",_xlfn.XLOOKUP(A111,Tab_base[Nom + Prénom],Tab_base[Puce], ""))</f>
        <v/>
      </c>
      <c r="C111" s="128" t="str">
        <f>IF(A111="","",_xlfn.XLOOKUP(A111,Tab_base[Nom + Prénom],Tab_base[Court],""))</f>
        <v/>
      </c>
    </row>
    <row r="112" spans="2:3" x14ac:dyDescent="0.3">
      <c r="B112" s="128" t="str">
        <f>IF(A112="","",_xlfn.XLOOKUP(A112,Tab_base[Nom + Prénom],Tab_base[Puce], ""))</f>
        <v/>
      </c>
      <c r="C112" s="128" t="str">
        <f>IF(A112="","",_xlfn.XLOOKUP(A112,Tab_base[Nom + Prénom],Tab_base[Court],""))</f>
        <v/>
      </c>
    </row>
    <row r="113" spans="2:3" x14ac:dyDescent="0.3">
      <c r="B113" s="128" t="str">
        <f>IF(A113="","",_xlfn.XLOOKUP(A113,Tab_base[Nom + Prénom],Tab_base[Puce], ""))</f>
        <v/>
      </c>
      <c r="C113" s="128" t="str">
        <f>IF(A113="","",_xlfn.XLOOKUP(A113,Tab_base[Nom + Prénom],Tab_base[Court],""))</f>
        <v/>
      </c>
    </row>
    <row r="114" spans="2:3" x14ac:dyDescent="0.3">
      <c r="B114" s="128" t="str">
        <f>IF(A114="","",_xlfn.XLOOKUP(A114,Tab_base[Nom + Prénom],Tab_base[Puce], ""))</f>
        <v/>
      </c>
      <c r="C114" s="128" t="str">
        <f>IF(A114="","",_xlfn.XLOOKUP(A114,Tab_base[Nom + Prénom],Tab_base[Court],""))</f>
        <v/>
      </c>
    </row>
    <row r="115" spans="2:3" x14ac:dyDescent="0.3">
      <c r="B115" s="128" t="str">
        <f>IF(A115="","",_xlfn.XLOOKUP(A115,Tab_base[Nom + Prénom],Tab_base[Puce], ""))</f>
        <v/>
      </c>
      <c r="C115" s="128" t="str">
        <f>IF(A115="","",_xlfn.XLOOKUP(A115,Tab_base[Nom + Prénom],Tab_base[Court],""))</f>
        <v/>
      </c>
    </row>
    <row r="116" spans="2:3" x14ac:dyDescent="0.3">
      <c r="B116" s="128" t="str">
        <f>IF(A116="","",_xlfn.XLOOKUP(A116,Tab_base[Nom + Prénom],Tab_base[Puce], ""))</f>
        <v/>
      </c>
      <c r="C116" s="128" t="str">
        <f>IF(A116="","",_xlfn.XLOOKUP(A116,Tab_base[Nom + Prénom],Tab_base[Court],""))</f>
        <v/>
      </c>
    </row>
    <row r="117" spans="2:3" x14ac:dyDescent="0.3">
      <c r="B117" s="128" t="str">
        <f>IF(A117="","",_xlfn.XLOOKUP(A117,Tab_base[Nom + Prénom],Tab_base[Puce], ""))</f>
        <v/>
      </c>
      <c r="C117" s="128" t="str">
        <f>IF(A117="","",_xlfn.XLOOKUP(A117,Tab_base[Nom + Prénom],Tab_base[Court],""))</f>
        <v/>
      </c>
    </row>
    <row r="118" spans="2:3" x14ac:dyDescent="0.3">
      <c r="B118" s="128" t="str">
        <f>IF(A118="","",_xlfn.XLOOKUP(A118,Tab_base[Nom + Prénom],Tab_base[Puce], ""))</f>
        <v/>
      </c>
      <c r="C118" s="128" t="str">
        <f>IF(A118="","",_xlfn.XLOOKUP(A118,Tab_base[Nom + Prénom],Tab_base[Court],""))</f>
        <v/>
      </c>
    </row>
    <row r="119" spans="2:3" x14ac:dyDescent="0.3">
      <c r="B119" s="128" t="str">
        <f>IF(A119="","",_xlfn.XLOOKUP(A119,Tab_base[Nom + Prénom],Tab_base[Puce], ""))</f>
        <v/>
      </c>
      <c r="C119" s="128" t="str">
        <f>IF(A119="","",_xlfn.XLOOKUP(A119,Tab_base[Nom + Prénom],Tab_base[Court],""))</f>
        <v/>
      </c>
    </row>
    <row r="120" spans="2:3" x14ac:dyDescent="0.3">
      <c r="B120" s="128" t="str">
        <f>IF(A120="","",_xlfn.XLOOKUP(A120,Tab_base[Nom + Prénom],Tab_base[Puce], ""))</f>
        <v/>
      </c>
      <c r="C120" s="128" t="str">
        <f>IF(A120="","",_xlfn.XLOOKUP(A120,Tab_base[Nom + Prénom],Tab_base[Court],""))</f>
        <v/>
      </c>
    </row>
    <row r="121" spans="2:3" x14ac:dyDescent="0.3">
      <c r="B121" s="128" t="str">
        <f>IF(A121="","",_xlfn.XLOOKUP(A121,Tab_base[Nom + Prénom],Tab_base[Puce], ""))</f>
        <v/>
      </c>
      <c r="C121" s="128" t="str">
        <f>IF(A121="","",_xlfn.XLOOKUP(A121,Tab_base[Nom + Prénom],Tab_base[Court],""))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boautoComplete">
          <controlPr defaultSize="0" autoLine="0" r:id="rId5">
            <anchor moveWithCells="1">
              <from>
                <xdr:col>0</xdr:col>
                <xdr:colOff>0</xdr:colOff>
                <xdr:row>121</xdr:row>
                <xdr:rowOff>0</xdr:rowOff>
              </from>
              <to>
                <xdr:col>1</xdr:col>
                <xdr:colOff>320040</xdr:colOff>
                <xdr:row>122</xdr:row>
                <xdr:rowOff>53340</xdr:rowOff>
              </to>
            </anchor>
          </controlPr>
        </control>
      </mc:Choice>
      <mc:Fallback>
        <control shapeId="2049" r:id="rId4" name="CboautoComple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C0FD2B-FCC6-44E9-A7D9-FAE6FA020B1A}">
          <x14:formula1>
            <xm:f>base!$Y$2:$Y$90</xm:f>
          </x14:formula1>
          <xm:sqref>A46:A171 A38:A39 A3:A36 A42:A43</xm:sqref>
        </x14:dataValidation>
        <x14:dataValidation type="list" allowBlank="1" showInputMessage="1" showErrorMessage="1" xr:uid="{D59D9572-D70F-4C5A-B6E2-8359958D0E4E}">
          <x14:formula1>
            <xm:f>base!$Y:$Y</xm:f>
          </x14:formula1>
          <xm:sqref>A44</xm:sqref>
        </x14:dataValidation>
        <x14:dataValidation type="list" allowBlank="1" showInputMessage="1" showErrorMessage="1" xr:uid="{90024448-1B84-4F79-916D-50F1250F5D5E}">
          <x14:formula1>
            <xm:f>base!$Y$2:$Y$94</xm:f>
          </x14:formula1>
          <xm:sqref>A37 A41</xm:sqref>
        </x14:dataValidation>
        <x14:dataValidation type="list" allowBlank="1" showInputMessage="1" showErrorMessage="1" xr:uid="{83749348-2146-4AE1-B1B6-5EA0DC369A9E}">
          <x14:formula1>
            <xm:f>base!$Y$2:$Y$95</xm:f>
          </x14:formula1>
          <xm:sqref>A40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BD31-24FA-4232-BA40-481E7DFFF0F3}">
  <sheetPr codeName="Feuil7"/>
  <dimension ref="B2:C4"/>
  <sheetViews>
    <sheetView workbookViewId="0">
      <selection activeCell="B23" sqref="B23"/>
    </sheetView>
  </sheetViews>
  <sheetFormatPr baseColWidth="10" defaultRowHeight="14.4" x14ac:dyDescent="0.3"/>
  <cols>
    <col min="2" max="2" width="26.77734375" customWidth="1"/>
  </cols>
  <sheetData>
    <row r="2" spans="2:3" x14ac:dyDescent="0.3">
      <c r="B2" s="1" t="s">
        <v>741</v>
      </c>
      <c r="C2" s="132" t="str">
        <f>ROW(A1)&amp;(".Circ.")</f>
        <v>1.Circ.</v>
      </c>
    </row>
    <row r="3" spans="2:3" x14ac:dyDescent="0.3">
      <c r="C3" s="132" t="str">
        <f t="shared" ref="C3:C4" si="0">ROW(A2)&amp;(".Circ.")</f>
        <v>2.Circ.</v>
      </c>
    </row>
    <row r="4" spans="2:3" x14ac:dyDescent="0.3">
      <c r="C4" s="132" t="str">
        <f t="shared" si="0"/>
        <v>3.Circ.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5A54F-5057-4CFE-AA3F-3CAA04B056CA}">
  <sheetPr codeName="Feuil5"/>
  <dimension ref="A1:CY7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3" sqref="C3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3" bestFit="1" customWidth="1"/>
    <col min="6" max="6" width="9.109375" style="5" bestFit="1" customWidth="1"/>
    <col min="7" max="7" width="5.77734375" bestFit="1" customWidth="1"/>
    <col min="8" max="8" width="8.109375" style="7" bestFit="1" customWidth="1"/>
    <col min="9" max="9" width="21.21875" bestFit="1" customWidth="1"/>
    <col min="10" max="10" width="6.109375" style="3" bestFit="1" customWidth="1"/>
    <col min="11" max="11" width="7.109375" style="5" bestFit="1" customWidth="1"/>
    <col min="12" max="12" width="5.77734375" bestFit="1" customWidth="1"/>
    <col min="13" max="13" width="6.5546875" style="7" bestFit="1" customWidth="1"/>
    <col min="14" max="14" width="30.21875" bestFit="1" customWidth="1"/>
    <col min="15" max="15" width="6.109375" style="3" bestFit="1" customWidth="1"/>
    <col min="16" max="16" width="6" style="5" bestFit="1" customWidth="1"/>
    <col min="17" max="17" width="4.5546875" style="7" bestFit="1" customWidth="1"/>
    <col min="18" max="18" width="5.21875" style="7" bestFit="1" customWidth="1"/>
    <col min="19" max="19" width="28.77734375" bestFit="1" customWidth="1"/>
    <col min="20" max="20" width="6.109375" style="3" bestFit="1" customWidth="1"/>
    <col min="21" max="21" width="7.109375" style="5" bestFit="1" customWidth="1"/>
    <col min="22" max="22" width="6.5546875" style="7" bestFit="1" customWidth="1"/>
    <col min="23" max="23" width="5.21875" style="7" bestFit="1" customWidth="1"/>
    <col min="24" max="24" width="26.33203125" bestFit="1" customWidth="1"/>
    <col min="25" max="25" width="8.109375" style="3" bestFit="1" customWidth="1"/>
    <col min="26" max="26" width="6" style="5" bestFit="1" customWidth="1"/>
    <col min="27" max="27" width="8.109375" bestFit="1" customWidth="1"/>
    <col min="28" max="28" width="5.33203125" style="7" customWidth="1"/>
    <col min="29" max="29" width="21" bestFit="1" customWidth="1"/>
    <col min="30" max="30" width="6.109375" style="3" bestFit="1" customWidth="1"/>
    <col min="31" max="31" width="8.109375" style="5" bestFit="1" customWidth="1"/>
    <col min="32" max="32" width="5.77734375" bestFit="1" customWidth="1"/>
    <col min="33" max="33" width="6.77734375" style="7" bestFit="1" customWidth="1"/>
    <col min="34" max="34" width="23.5546875" bestFit="1" customWidth="1"/>
    <col min="35" max="35" width="6.109375" style="3" bestFit="1" customWidth="1"/>
    <col min="36" max="36" width="8.109375" style="5" bestFit="1" customWidth="1"/>
    <col min="37" max="37" width="5.77734375" bestFit="1" customWidth="1"/>
    <col min="38" max="38" width="6.77734375" style="7" bestFit="1" customWidth="1"/>
    <col min="39" max="39" width="24.44140625" bestFit="1" customWidth="1"/>
    <col min="40" max="40" width="6.109375" style="3" bestFit="1" customWidth="1"/>
    <col min="41" max="41" width="6" style="5" bestFit="1" customWidth="1"/>
    <col min="42" max="42" width="4.5546875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6" style="5" bestFit="1" customWidth="1"/>
    <col min="47" max="47" width="4.5546875" bestFit="1" customWidth="1"/>
    <col min="48" max="48" width="5.218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5.5546875" bestFit="1" customWidth="1"/>
    <col min="58" max="58" width="5.218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24.44140625" bestFit="1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14.77734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</cols>
  <sheetData>
    <row r="1" spans="1:103" x14ac:dyDescent="0.3">
      <c r="A1" t="s">
        <v>0</v>
      </c>
      <c r="D1" t="s">
        <v>523</v>
      </c>
      <c r="G1" t="s">
        <v>548</v>
      </c>
      <c r="I1" t="s">
        <v>85</v>
      </c>
      <c r="N1" t="s">
        <v>86</v>
      </c>
      <c r="S1" t="s">
        <v>548</v>
      </c>
      <c r="X1" t="s">
        <v>529</v>
      </c>
      <c r="AC1" t="s">
        <v>535</v>
      </c>
      <c r="AH1" t="s">
        <v>536</v>
      </c>
    </row>
    <row r="2" spans="1:103" x14ac:dyDescent="0.3">
      <c r="A2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5" t="s">
        <v>17</v>
      </c>
      <c r="Q2" s="7" t="s">
        <v>18</v>
      </c>
      <c r="R2" s="7" t="s">
        <v>498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487</v>
      </c>
      <c r="X2" t="s">
        <v>23</v>
      </c>
      <c r="Y2" s="3" t="s">
        <v>24</v>
      </c>
      <c r="Z2" s="5" t="s">
        <v>25</v>
      </c>
      <c r="AA2" t="s">
        <v>26</v>
      </c>
      <c r="AB2" s="7" t="s">
        <v>486</v>
      </c>
      <c r="AC2" t="s">
        <v>27</v>
      </c>
      <c r="AD2" s="3" t="s">
        <v>28</v>
      </c>
      <c r="AE2" s="5" t="s">
        <v>29</v>
      </c>
      <c r="AF2" t="s">
        <v>30</v>
      </c>
      <c r="AG2" s="7" t="s">
        <v>487</v>
      </c>
      <c r="AH2" t="s">
        <v>31</v>
      </c>
      <c r="AI2" s="3" t="s">
        <v>32</v>
      </c>
      <c r="AJ2" s="5" t="s">
        <v>33</v>
      </c>
      <c r="AK2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  <c r="AW2" t="s">
        <v>43</v>
      </c>
      <c r="AX2" s="3" t="s">
        <v>44</v>
      </c>
      <c r="AY2" s="5" t="s">
        <v>45</v>
      </c>
      <c r="AZ2" t="s">
        <v>46</v>
      </c>
      <c r="BA2" s="7" t="s">
        <v>497</v>
      </c>
      <c r="BB2" t="s">
        <v>47</v>
      </c>
      <c r="BC2" s="3" t="s">
        <v>48</v>
      </c>
      <c r="BD2" s="5" t="s">
        <v>49</v>
      </c>
      <c r="BE2" t="s">
        <v>50</v>
      </c>
      <c r="BF2" s="7" t="s">
        <v>496</v>
      </c>
      <c r="BG2" t="s">
        <v>51</v>
      </c>
      <c r="BH2" s="3" t="s">
        <v>52</v>
      </c>
      <c r="BI2" s="5" t="s">
        <v>53</v>
      </c>
      <c r="BJ2" t="s">
        <v>54</v>
      </c>
      <c r="BK2" s="7" t="s">
        <v>495</v>
      </c>
      <c r="BL2" t="s">
        <v>55</v>
      </c>
      <c r="BM2" s="3" t="s">
        <v>56</v>
      </c>
      <c r="BN2" s="5" t="s">
        <v>57</v>
      </c>
      <c r="BO2" t="s">
        <v>58</v>
      </c>
      <c r="BP2" s="7" t="s">
        <v>494</v>
      </c>
      <c r="BQ2" t="s">
        <v>59</v>
      </c>
      <c r="BR2" s="3" t="s">
        <v>60</v>
      </c>
      <c r="BS2" s="5" t="s">
        <v>61</v>
      </c>
      <c r="BT2" t="s">
        <v>62</v>
      </c>
      <c r="BU2" s="7" t="s">
        <v>493</v>
      </c>
      <c r="BV2" t="s">
        <v>63</v>
      </c>
      <c r="BW2" s="3" t="s">
        <v>64</v>
      </c>
      <c r="BX2" s="5" t="s">
        <v>65</v>
      </c>
      <c r="BY2" t="s">
        <v>66</v>
      </c>
      <c r="BZ2" s="7" t="s">
        <v>492</v>
      </c>
      <c r="CA2" t="s">
        <v>524</v>
      </c>
      <c r="CB2" s="3" t="s">
        <v>525</v>
      </c>
      <c r="CC2" s="5" t="s">
        <v>526</v>
      </c>
      <c r="CD2" t="s">
        <v>527</v>
      </c>
      <c r="CE2" s="7" t="s">
        <v>528</v>
      </c>
      <c r="CF2" t="s">
        <v>530</v>
      </c>
      <c r="CG2" s="3" t="s">
        <v>531</v>
      </c>
      <c r="CH2" s="5" t="s">
        <v>532</v>
      </c>
      <c r="CI2" t="s">
        <v>533</v>
      </c>
      <c r="CJ2" s="7" t="s">
        <v>534</v>
      </c>
      <c r="CK2" t="s">
        <v>537</v>
      </c>
      <c r="CL2" t="s">
        <v>538</v>
      </c>
      <c r="CM2" t="s">
        <v>539</v>
      </c>
      <c r="CN2" t="s">
        <v>541</v>
      </c>
      <c r="CO2" t="s">
        <v>540</v>
      </c>
      <c r="CP2" t="s">
        <v>543</v>
      </c>
      <c r="CQ2" t="s">
        <v>544</v>
      </c>
      <c r="CR2" t="s">
        <v>545</v>
      </c>
      <c r="CS2" t="s">
        <v>546</v>
      </c>
      <c r="CT2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A3" t="s">
        <v>217</v>
      </c>
      <c r="B3">
        <f>IF(A3="","",_xlfn.XLOOKUP(A3,Tab_base[Nom + Prénom],Tab_base[Puce], ""))</f>
        <v>8050858</v>
      </c>
      <c r="C3" t="str">
        <f>IF(A3="","",_xlfn.XLOOKUP(A3,Tab_base[Nom + Prénom],Tab_base[Court],""))</f>
        <v>H65</v>
      </c>
      <c r="D3" t="s">
        <v>97</v>
      </c>
      <c r="F3" s="5" t="s">
        <v>148</v>
      </c>
      <c r="G3" s="4"/>
      <c r="X3" t="s">
        <v>97</v>
      </c>
      <c r="Y3" s="3" t="s">
        <v>707</v>
      </c>
      <c r="Z3" s="5" t="s">
        <v>628</v>
      </c>
      <c r="AA3" t="s">
        <v>708</v>
      </c>
      <c r="AC3" s="61" t="s">
        <v>675</v>
      </c>
      <c r="AD3" s="103"/>
      <c r="AE3" s="134">
        <v>1.9930555555555556E-2</v>
      </c>
      <c r="AF3" s="103" t="s">
        <v>747</v>
      </c>
      <c r="AG3" s="103" t="s">
        <v>748</v>
      </c>
      <c r="AH3" s="53" t="s">
        <v>71</v>
      </c>
      <c r="AI3" s="133"/>
      <c r="AJ3" s="53" t="s">
        <v>793</v>
      </c>
      <c r="AK3" s="133" t="s">
        <v>792</v>
      </c>
      <c r="AL3" s="133" t="s">
        <v>794</v>
      </c>
    </row>
    <row r="4" spans="1:103" x14ac:dyDescent="0.3">
      <c r="A4" t="s">
        <v>223</v>
      </c>
      <c r="B4">
        <f>IF(A4="","",_xlfn.XLOOKUP(A4,Tab_base[Nom + Prénom],Tab_base[Puce], ""))</f>
        <v>8581786</v>
      </c>
      <c r="C4" t="str">
        <f>IF(A4="","",_xlfn.XLOOKUP(A4,Tab_base[Nom + Prénom],Tab_base[Court],""))</f>
        <v>H21</v>
      </c>
      <c r="D4" t="s">
        <v>95</v>
      </c>
      <c r="F4" s="5" t="s">
        <v>671</v>
      </c>
      <c r="G4" t="s">
        <v>638</v>
      </c>
      <c r="H4" s="7" t="s">
        <v>672</v>
      </c>
      <c r="X4" t="s">
        <v>95</v>
      </c>
      <c r="Y4" s="3" t="s">
        <v>711</v>
      </c>
      <c r="Z4" s="5" t="s">
        <v>723</v>
      </c>
      <c r="AA4" t="s">
        <v>712</v>
      </c>
      <c r="AC4" s="61" t="s">
        <v>675</v>
      </c>
      <c r="AD4" s="103"/>
      <c r="AE4" s="135">
        <v>1.087962962962963E-2</v>
      </c>
      <c r="AF4" s="103" t="s">
        <v>749</v>
      </c>
      <c r="AG4" s="103" t="s">
        <v>750</v>
      </c>
      <c r="AH4" s="53" t="s">
        <v>93</v>
      </c>
      <c r="AI4" s="133"/>
      <c r="AJ4" s="53" t="s">
        <v>780</v>
      </c>
      <c r="AK4" s="133" t="s">
        <v>781</v>
      </c>
      <c r="AL4" s="133" t="s">
        <v>779</v>
      </c>
    </row>
    <row r="5" spans="1:103" x14ac:dyDescent="0.3">
      <c r="A5" t="s">
        <v>231</v>
      </c>
      <c r="B5">
        <f>IF(A5="","",_xlfn.XLOOKUP(A5,Tab_base[Nom + Prénom],Tab_base[Puce], ""))</f>
        <v>8500434</v>
      </c>
      <c r="C5" t="str">
        <f>IF(A5="","",_xlfn.XLOOKUP(A5,Tab_base[Nom + Prénom],Tab_base[Court],""))</f>
        <v>H45</v>
      </c>
      <c r="D5" t="s">
        <v>78</v>
      </c>
      <c r="F5" s="5" t="s">
        <v>668</v>
      </c>
      <c r="G5" s="4" t="s">
        <v>669</v>
      </c>
      <c r="H5" s="7" t="s">
        <v>670</v>
      </c>
      <c r="X5" t="s">
        <v>78</v>
      </c>
      <c r="Y5" s="3" t="s">
        <v>717</v>
      </c>
      <c r="Z5" s="5" t="s">
        <v>726</v>
      </c>
      <c r="AA5" t="s">
        <v>718</v>
      </c>
      <c r="AC5" s="61"/>
      <c r="AD5" s="61"/>
      <c r="AE5" s="61"/>
      <c r="AF5" s="61"/>
      <c r="AG5" s="61"/>
      <c r="AH5" s="53"/>
      <c r="AI5" s="53"/>
      <c r="AJ5" s="53"/>
      <c r="AK5" s="53"/>
      <c r="AL5" s="53"/>
    </row>
    <row r="6" spans="1:103" x14ac:dyDescent="0.3">
      <c r="A6" t="s">
        <v>236</v>
      </c>
      <c r="B6">
        <f>IF(A6="","",_xlfn.XLOOKUP(A6,Tab_base[Nom + Prénom],Tab_base[Puce], ""))</f>
        <v>8171016</v>
      </c>
      <c r="C6" t="str">
        <f>IF(A6="","",_xlfn.XLOOKUP(A6,Tab_base[Nom + Prénom],Tab_base[Court],""))</f>
        <v>D20</v>
      </c>
      <c r="AC6" s="61"/>
      <c r="AD6" s="61"/>
      <c r="AE6" s="61"/>
      <c r="AF6" s="61"/>
      <c r="AG6" s="61"/>
      <c r="AH6" s="53"/>
      <c r="AI6" s="53"/>
      <c r="AJ6" s="53"/>
      <c r="AK6" s="53"/>
      <c r="AL6" s="53"/>
    </row>
    <row r="7" spans="1:103" x14ac:dyDescent="0.3">
      <c r="A7" t="s">
        <v>239</v>
      </c>
      <c r="B7">
        <f>IF(A7="","",_xlfn.XLOOKUP(A7,Tab_base[Nom + Prénom],Tab_base[Puce], ""))</f>
        <v>8534679</v>
      </c>
      <c r="C7" t="str">
        <f>IF(A7="","",_xlfn.XLOOKUP(A7,Tab_base[Nom + Prénom],Tab_base[Court],""))</f>
        <v>H14</v>
      </c>
      <c r="D7" t="s">
        <v>104</v>
      </c>
      <c r="F7" s="5" t="s">
        <v>633</v>
      </c>
      <c r="G7" t="s">
        <v>632</v>
      </c>
      <c r="H7" s="7" t="s">
        <v>634</v>
      </c>
      <c r="AC7" s="61" t="s">
        <v>674</v>
      </c>
      <c r="AD7" s="103"/>
      <c r="AE7" s="135">
        <v>1.3738425925925926E-2</v>
      </c>
      <c r="AF7" s="103" t="s">
        <v>776</v>
      </c>
      <c r="AG7" s="103" t="s">
        <v>777</v>
      </c>
      <c r="AH7" s="53" t="s">
        <v>73</v>
      </c>
      <c r="AI7" s="133"/>
      <c r="AJ7" s="53" t="s">
        <v>809</v>
      </c>
      <c r="AK7" s="133" t="s">
        <v>558</v>
      </c>
      <c r="AL7" s="133" t="s">
        <v>810</v>
      </c>
    </row>
    <row r="8" spans="1:103" x14ac:dyDescent="0.3">
      <c r="A8" t="s">
        <v>241</v>
      </c>
      <c r="B8">
        <f>IF(A8="","",_xlfn.XLOOKUP(A8,Tab_base[Nom + Prénom],Tab_base[Puce], ""))</f>
        <v>8534692</v>
      </c>
      <c r="C8" t="str">
        <f>IF(A8="","",_xlfn.XLOOKUP(A8,Tab_base[Nom + Prénom],Tab_base[Court],""))</f>
        <v>H40</v>
      </c>
      <c r="D8" t="s">
        <v>97</v>
      </c>
      <c r="F8" s="5" t="s">
        <v>657</v>
      </c>
      <c r="G8" t="s">
        <v>656</v>
      </c>
      <c r="H8" s="7" t="s">
        <v>658</v>
      </c>
      <c r="AC8" s="61" t="s">
        <v>675</v>
      </c>
      <c r="AD8" s="103"/>
      <c r="AE8" s="135">
        <v>1.545138888888889E-2</v>
      </c>
      <c r="AF8" s="103" t="s">
        <v>751</v>
      </c>
      <c r="AG8" s="103" t="s">
        <v>752</v>
      </c>
      <c r="AH8" s="53" t="s">
        <v>76</v>
      </c>
      <c r="AI8" s="133"/>
      <c r="AJ8" s="53" t="s">
        <v>785</v>
      </c>
      <c r="AK8" s="133" t="s">
        <v>786</v>
      </c>
      <c r="AL8" s="133" t="s">
        <v>787</v>
      </c>
    </row>
    <row r="9" spans="1:103" x14ac:dyDescent="0.3">
      <c r="A9" t="s">
        <v>243</v>
      </c>
      <c r="B9">
        <f>IF(A9="","",_xlfn.XLOOKUP(A9,Tab_base[Nom + Prénom],Tab_base[Puce], ""))</f>
        <v>2158061</v>
      </c>
      <c r="C9" t="str">
        <f>IF(A9="","",_xlfn.XLOOKUP(A9,Tab_base[Nom + Prénom],Tab_base[Court],""))</f>
        <v>D10</v>
      </c>
      <c r="D9" t="s">
        <v>522</v>
      </c>
      <c r="F9" s="5" t="s">
        <v>629</v>
      </c>
      <c r="G9" s="4" t="s">
        <v>630</v>
      </c>
      <c r="H9" s="7" t="s">
        <v>631</v>
      </c>
      <c r="L9" s="4"/>
      <c r="AC9" s="61" t="s">
        <v>685</v>
      </c>
      <c r="AD9" s="103"/>
      <c r="AE9" s="61" t="s">
        <v>778</v>
      </c>
      <c r="AF9" s="61"/>
      <c r="AG9" s="61"/>
      <c r="AH9" s="53"/>
      <c r="AI9" s="53"/>
      <c r="AJ9" s="53"/>
      <c r="AK9" s="53"/>
      <c r="AL9" s="53"/>
    </row>
    <row r="10" spans="1:103" x14ac:dyDescent="0.3">
      <c r="A10" t="s">
        <v>246</v>
      </c>
      <c r="B10">
        <f>IF(A10="","",_xlfn.XLOOKUP(A10,Tab_base[Nom + Prénom],Tab_base[Puce], ""))</f>
        <v>8545607</v>
      </c>
      <c r="C10" t="str">
        <f>IF(A10="","",_xlfn.XLOOKUP(A10,Tab_base[Nom + Prénom],Tab_base[Court],""))</f>
        <v>D70</v>
      </c>
      <c r="D10" t="s">
        <v>616</v>
      </c>
      <c r="F10" s="5" t="s">
        <v>148</v>
      </c>
      <c r="G10" s="6"/>
      <c r="L10" s="6"/>
      <c r="W10" s="8"/>
      <c r="X10" t="s">
        <v>614</v>
      </c>
      <c r="Y10" s="3" t="s">
        <v>148</v>
      </c>
      <c r="AC10" s="61"/>
      <c r="AD10" s="61"/>
      <c r="AE10" s="61"/>
      <c r="AF10" s="61"/>
      <c r="AG10" s="61"/>
      <c r="AH10" s="53"/>
      <c r="AI10" s="53"/>
      <c r="AJ10" s="53"/>
      <c r="AK10" s="53"/>
      <c r="AL10" s="53"/>
    </row>
    <row r="11" spans="1:103" x14ac:dyDescent="0.3">
      <c r="A11" t="s">
        <v>257</v>
      </c>
      <c r="B11">
        <f>IF(A11="","",_xlfn.XLOOKUP(A11,Tab_base[Nom + Prénom],Tab_base[Puce], ""))</f>
        <v>205574</v>
      </c>
      <c r="C11" t="str">
        <f>IF(A11="","",_xlfn.XLOOKUP(A11,Tab_base[Nom + Prénom],Tab_base[Court],""))</f>
        <v>H10</v>
      </c>
      <c r="G11" s="6"/>
      <c r="L11" s="6"/>
      <c r="AC11" s="61" t="s">
        <v>685</v>
      </c>
      <c r="AD11" s="103"/>
      <c r="AE11" s="61" t="s">
        <v>778</v>
      </c>
      <c r="AF11" s="61"/>
      <c r="AG11" s="61"/>
      <c r="AH11" s="53"/>
      <c r="AI11" s="53"/>
      <c r="AJ11" s="53"/>
      <c r="AK11" s="53"/>
      <c r="AL11" s="53"/>
      <c r="AP11" s="6"/>
    </row>
    <row r="12" spans="1:103" x14ac:dyDescent="0.3">
      <c r="A12" t="s">
        <v>259</v>
      </c>
      <c r="B12">
        <f>IF(A12="","",_xlfn.XLOOKUP(A12,Tab_base[Nom + Prénom],Tab_base[Puce], ""))</f>
        <v>2027602</v>
      </c>
      <c r="C12" t="str">
        <f>IF(A12="","",_xlfn.XLOOKUP(A12,Tab_base[Nom + Prénom],Tab_base[Court],""))</f>
        <v>D10</v>
      </c>
      <c r="G12" s="6"/>
      <c r="L12" s="6"/>
      <c r="AC12" s="61" t="s">
        <v>685</v>
      </c>
      <c r="AD12" s="103"/>
      <c r="AE12" s="61" t="s">
        <v>778</v>
      </c>
      <c r="AF12" s="61"/>
      <c r="AG12" s="61"/>
      <c r="AH12" s="53"/>
      <c r="AI12" s="53"/>
      <c r="AJ12" s="53"/>
      <c r="AK12" s="53"/>
      <c r="AL12" s="53"/>
      <c r="AP12" s="6"/>
    </row>
    <row r="13" spans="1:103" x14ac:dyDescent="0.3">
      <c r="A13" t="s">
        <v>262</v>
      </c>
      <c r="B13">
        <f>IF(A13="","",_xlfn.XLOOKUP(A13,Tab_base[Nom + Prénom],Tab_base[Puce], ""))</f>
        <v>8310889</v>
      </c>
      <c r="C13" t="str">
        <f>IF(A13="","",_xlfn.XLOOKUP(A13,Tab_base[Nom + Prénom],Tab_base[Court],""))</f>
        <v>D35</v>
      </c>
      <c r="AA13" s="6"/>
      <c r="AC13" s="61" t="s">
        <v>686</v>
      </c>
      <c r="AD13" s="103"/>
      <c r="AE13" s="135">
        <v>1.3842592592592594E-2</v>
      </c>
      <c r="AF13" s="103" t="s">
        <v>763</v>
      </c>
      <c r="AG13" s="103" t="s">
        <v>764</v>
      </c>
      <c r="AH13" s="53"/>
      <c r="AI13" s="53"/>
      <c r="AJ13" s="53"/>
      <c r="AK13" s="53"/>
      <c r="AL13" s="53"/>
    </row>
    <row r="14" spans="1:103" x14ac:dyDescent="0.3">
      <c r="A14" t="s">
        <v>265</v>
      </c>
      <c r="B14">
        <f>IF(A14="","",_xlfn.XLOOKUP(A14,Tab_base[Nom + Prénom],Tab_base[Puce], ""))</f>
        <v>8021989</v>
      </c>
      <c r="C14" t="str">
        <f>IF(A14="","",_xlfn.XLOOKUP(A14,Tab_base[Nom + Prénom],Tab_base[Court],""))</f>
        <v>H35</v>
      </c>
      <c r="AA14" s="6"/>
      <c r="AC14" s="61" t="s">
        <v>675</v>
      </c>
      <c r="AD14" s="103"/>
      <c r="AE14" s="135">
        <v>1.5763888888888886E-2</v>
      </c>
      <c r="AF14" s="103" t="s">
        <v>753</v>
      </c>
      <c r="AG14" s="103" t="s">
        <v>754</v>
      </c>
      <c r="AH14" s="53"/>
      <c r="AI14" s="53"/>
      <c r="AJ14" s="53"/>
      <c r="AK14" s="53"/>
      <c r="AL14" s="53"/>
    </row>
    <row r="15" spans="1:103" x14ac:dyDescent="0.3">
      <c r="A15" t="s">
        <v>269</v>
      </c>
      <c r="B15">
        <f>IF(A15="","",_xlfn.XLOOKUP(A15,Tab_base[Nom + Prénom],Tab_base[Puce], ""))</f>
        <v>1890301</v>
      </c>
      <c r="C15" t="str">
        <f>IF(A15="","",_xlfn.XLOOKUP(A15,Tab_base[Nom + Prénom],Tab_base[Court],""))</f>
        <v>D55</v>
      </c>
      <c r="X15" t="s">
        <v>613</v>
      </c>
      <c r="Y15" s="3" t="s">
        <v>705</v>
      </c>
      <c r="Z15" s="5" t="s">
        <v>722</v>
      </c>
      <c r="AA15" t="s">
        <v>706</v>
      </c>
      <c r="AC15" s="61" t="s">
        <v>686</v>
      </c>
      <c r="AD15" s="103"/>
      <c r="AE15" s="135">
        <v>2.5462962962962962E-2</v>
      </c>
      <c r="AF15" s="103" t="s">
        <v>765</v>
      </c>
      <c r="AG15" s="103" t="s">
        <v>766</v>
      </c>
      <c r="AH15" s="53" t="s">
        <v>71</v>
      </c>
      <c r="AI15" s="133"/>
      <c r="AJ15" s="53" t="s">
        <v>148</v>
      </c>
      <c r="AK15" s="53"/>
      <c r="AL15" s="53"/>
    </row>
    <row r="16" spans="1:103" x14ac:dyDescent="0.3">
      <c r="A16" t="s">
        <v>272</v>
      </c>
      <c r="B16">
        <f>IF(A16="","",_xlfn.XLOOKUP(A16,Tab_base[Nom + Prénom],Tab_base[Puce], ""))</f>
        <v>8890305</v>
      </c>
      <c r="C16" t="str">
        <f>IF(A16="","",_xlfn.XLOOKUP(A16,Tab_base[Nom + Prénom],Tab_base[Court],""))</f>
        <v>H55</v>
      </c>
      <c r="X16" t="s">
        <v>78</v>
      </c>
      <c r="Y16" s="3" t="s">
        <v>714</v>
      </c>
      <c r="Z16" s="5" t="s">
        <v>724</v>
      </c>
      <c r="AA16" t="s">
        <v>713</v>
      </c>
      <c r="AC16" s="61" t="s">
        <v>675</v>
      </c>
      <c r="AD16" s="103"/>
      <c r="AE16" s="135">
        <v>1.4467592592592593E-2</v>
      </c>
      <c r="AF16" s="103" t="s">
        <v>755</v>
      </c>
      <c r="AG16" s="103" t="s">
        <v>756</v>
      </c>
      <c r="AH16" s="53" t="s">
        <v>70</v>
      </c>
      <c r="AI16" s="133"/>
      <c r="AJ16" s="53" t="s">
        <v>790</v>
      </c>
      <c r="AK16" s="133" t="s">
        <v>789</v>
      </c>
      <c r="AL16" s="133" t="s">
        <v>788</v>
      </c>
    </row>
    <row r="17" spans="1:38" x14ac:dyDescent="0.3">
      <c r="A17" t="s">
        <v>275</v>
      </c>
      <c r="B17">
        <f>IF(A17="","",_xlfn.XLOOKUP(A17,Tab_base[Nom + Prénom],Tab_base[Puce], ""))</f>
        <v>2027613</v>
      </c>
      <c r="C17" t="str">
        <f>IF(A17="","",_xlfn.XLOOKUP(A17,Tab_base[Nom + Prénom],Tab_base[Court],""))</f>
        <v>D35</v>
      </c>
      <c r="D17" t="s">
        <v>104</v>
      </c>
      <c r="F17" s="5" t="s">
        <v>148</v>
      </c>
      <c r="X17" t="s">
        <v>549</v>
      </c>
      <c r="Y17" s="3" t="s">
        <v>691</v>
      </c>
      <c r="Z17" s="5" t="s">
        <v>692</v>
      </c>
      <c r="AA17" t="s">
        <v>730</v>
      </c>
      <c r="AC17" s="61" t="s">
        <v>686</v>
      </c>
      <c r="AD17" s="103"/>
      <c r="AE17" s="135">
        <v>2.2604166666666665E-2</v>
      </c>
      <c r="AF17" s="103" t="s">
        <v>767</v>
      </c>
      <c r="AG17" s="103" t="s">
        <v>768</v>
      </c>
      <c r="AH17" s="53"/>
      <c r="AI17" s="53"/>
      <c r="AJ17" s="53"/>
      <c r="AK17" s="53"/>
      <c r="AL17" s="53"/>
    </row>
    <row r="18" spans="1:38" x14ac:dyDescent="0.3">
      <c r="A18" t="s">
        <v>277</v>
      </c>
      <c r="B18">
        <f>IF(A18="","",_xlfn.XLOOKUP(A18,Tab_base[Nom + Prénom],Tab_base[Puce], ""))</f>
        <v>1890311</v>
      </c>
      <c r="C18" t="str">
        <f>IF(A18="","",_xlfn.XLOOKUP(A18,Tab_base[Nom + Prénom],Tab_base[Court],""))</f>
        <v>H65</v>
      </c>
      <c r="D18" t="s">
        <v>616</v>
      </c>
      <c r="F18" s="5" t="s">
        <v>645</v>
      </c>
      <c r="G18" t="s">
        <v>644</v>
      </c>
      <c r="H18" s="7" t="s">
        <v>646</v>
      </c>
      <c r="X18" t="s">
        <v>104</v>
      </c>
      <c r="Y18" s="3" t="s">
        <v>695</v>
      </c>
      <c r="Z18" s="5" t="s">
        <v>720</v>
      </c>
      <c r="AA18" t="s">
        <v>696</v>
      </c>
      <c r="AC18" s="61"/>
      <c r="AD18" s="61"/>
      <c r="AE18" s="61"/>
      <c r="AF18" s="61"/>
      <c r="AG18" s="61"/>
      <c r="AH18" s="53" t="s">
        <v>73</v>
      </c>
      <c r="AI18" s="133"/>
      <c r="AJ18" s="53" t="s">
        <v>811</v>
      </c>
      <c r="AK18" s="133" t="s">
        <v>776</v>
      </c>
      <c r="AL18" s="133" t="s">
        <v>812</v>
      </c>
    </row>
    <row r="19" spans="1:38" x14ac:dyDescent="0.3">
      <c r="A19" t="s">
        <v>279</v>
      </c>
      <c r="B19">
        <f>IF(A19="","",_xlfn.XLOOKUP(A19,Tab_base[Nom + Prénom],Tab_base[Puce], ""))</f>
        <v>2027608</v>
      </c>
      <c r="C19" t="str">
        <f>IF(A19="","",_xlfn.XLOOKUP(A19,Tab_base[Nom + Prénom],Tab_base[Court],""))</f>
        <v>H35</v>
      </c>
      <c r="D19" t="s">
        <v>97</v>
      </c>
      <c r="F19" s="5" t="s">
        <v>651</v>
      </c>
      <c r="G19" t="s">
        <v>650</v>
      </c>
      <c r="H19" s="7" t="s">
        <v>652</v>
      </c>
      <c r="X19" t="s">
        <v>97</v>
      </c>
      <c r="AC19" s="61"/>
      <c r="AD19" s="61"/>
      <c r="AE19" s="61"/>
      <c r="AF19" s="61"/>
      <c r="AG19" s="61"/>
      <c r="AH19" s="53" t="s">
        <v>93</v>
      </c>
      <c r="AI19" s="133"/>
      <c r="AJ19" s="53" t="s">
        <v>783</v>
      </c>
      <c r="AK19" s="133" t="s">
        <v>782</v>
      </c>
      <c r="AL19" s="133" t="s">
        <v>784</v>
      </c>
    </row>
    <row r="20" spans="1:38" x14ac:dyDescent="0.3">
      <c r="A20" t="s">
        <v>282</v>
      </c>
      <c r="B20">
        <f>IF(A20="","",_xlfn.XLOOKUP(A20,Tab_base[Nom + Prénom],Tab_base[Puce], ""))</f>
        <v>8527790</v>
      </c>
      <c r="C20" t="str">
        <f>IF(A20="","",_xlfn.XLOOKUP(A20,Tab_base[Nom + Prénom],Tab_base[Court],""))</f>
        <v>H50</v>
      </c>
      <c r="X20" t="s">
        <v>616</v>
      </c>
      <c r="Y20" s="3" t="s">
        <v>727</v>
      </c>
      <c r="Z20" s="5" t="s">
        <v>114</v>
      </c>
      <c r="AA20" t="s">
        <v>728</v>
      </c>
      <c r="AC20" s="61" t="s">
        <v>675</v>
      </c>
      <c r="AD20" s="103"/>
      <c r="AE20" s="135">
        <v>1.4780092592592595E-2</v>
      </c>
      <c r="AF20" s="103" t="s">
        <v>757</v>
      </c>
      <c r="AG20" s="103" t="s">
        <v>758</v>
      </c>
      <c r="AH20" s="53" t="s">
        <v>70</v>
      </c>
      <c r="AI20" s="133"/>
      <c r="AJ20" s="53" t="s">
        <v>791</v>
      </c>
      <c r="AK20" s="133" t="s">
        <v>721</v>
      </c>
      <c r="AL20" s="133" t="s">
        <v>808</v>
      </c>
    </row>
    <row r="21" spans="1:38" x14ac:dyDescent="0.3">
      <c r="A21" t="s">
        <v>284</v>
      </c>
      <c r="B21">
        <f>IF(A21="","",_xlfn.XLOOKUP(A21,Tab_base[Nom + Prénom],Tab_base[Puce], ""))</f>
        <v>8542857</v>
      </c>
      <c r="C21" t="str">
        <f>IF(A21="","",_xlfn.XLOOKUP(A21,Tab_base[Nom + Prénom],Tab_base[Court],""))</f>
        <v>H14</v>
      </c>
      <c r="D21" t="s">
        <v>104</v>
      </c>
      <c r="F21" s="5" t="s">
        <v>636</v>
      </c>
      <c r="G21" t="s">
        <v>635</v>
      </c>
      <c r="H21" s="7" t="s">
        <v>637</v>
      </c>
      <c r="X21" t="s">
        <v>673</v>
      </c>
      <c r="Y21" s="3" t="s">
        <v>699</v>
      </c>
      <c r="Z21" s="5" t="s">
        <v>700</v>
      </c>
      <c r="AA21" t="s">
        <v>729</v>
      </c>
      <c r="AC21" s="61" t="s">
        <v>674</v>
      </c>
      <c r="AD21" s="103"/>
      <c r="AE21" s="135">
        <v>9.6064814814814815E-3</v>
      </c>
      <c r="AF21" s="103" t="s">
        <v>558</v>
      </c>
      <c r="AG21" s="103" t="s">
        <v>775</v>
      </c>
      <c r="AH21" s="53" t="s">
        <v>73</v>
      </c>
      <c r="AI21" s="133"/>
      <c r="AJ21" s="53" t="s">
        <v>806</v>
      </c>
      <c r="AK21" s="133" t="s">
        <v>805</v>
      </c>
      <c r="AL21" s="133" t="s">
        <v>807</v>
      </c>
    </row>
    <row r="22" spans="1:38" x14ac:dyDescent="0.3">
      <c r="A22" t="s">
        <v>621</v>
      </c>
      <c r="B22">
        <f>IF(A22="","",_xlfn.XLOOKUP(A22,Tab_base[Nom + Prénom],Tab_base[Puce], ""))</f>
        <v>2158058</v>
      </c>
      <c r="C22" t="str">
        <f>IF(A22="","",_xlfn.XLOOKUP(A22,Tab_base[Nom + Prénom],Tab_base[Court],""))</f>
        <v>H12</v>
      </c>
      <c r="X22" t="s">
        <v>522</v>
      </c>
      <c r="Y22" s="3" t="s">
        <v>701</v>
      </c>
      <c r="Z22" s="5" t="s">
        <v>504</v>
      </c>
      <c r="AA22" t="s">
        <v>702</v>
      </c>
      <c r="AC22" s="61"/>
      <c r="AD22" s="61"/>
      <c r="AE22" s="61"/>
      <c r="AF22" s="61"/>
      <c r="AG22" s="61"/>
      <c r="AH22" s="53"/>
      <c r="AI22" s="53"/>
      <c r="AJ22" s="53"/>
      <c r="AK22" s="53"/>
      <c r="AL22" s="53"/>
    </row>
    <row r="23" spans="1:38" x14ac:dyDescent="0.3">
      <c r="A23" t="s">
        <v>622</v>
      </c>
      <c r="B23">
        <f>IF(A23="","",_xlfn.XLOOKUP(A23,Tab_base[Nom + Prénom],Tab_base[Puce], ""))</f>
        <v>2027615</v>
      </c>
      <c r="C23" t="str">
        <f>IF(A23="","",_xlfn.XLOOKUP(A23,Tab_base[Nom + Prénom],Tab_base[Court],""))</f>
        <v>H35</v>
      </c>
      <c r="X23" t="s">
        <v>616</v>
      </c>
      <c r="Y23" s="3" t="s">
        <v>738</v>
      </c>
      <c r="Z23" s="5" t="s">
        <v>739</v>
      </c>
      <c r="AA23" t="s">
        <v>740</v>
      </c>
      <c r="AC23" s="61"/>
      <c r="AD23" s="61"/>
      <c r="AE23" s="61"/>
      <c r="AF23" s="61"/>
      <c r="AG23" s="61"/>
      <c r="AH23" s="53"/>
      <c r="AI23" s="53"/>
      <c r="AJ23" s="53"/>
      <c r="AK23" s="53"/>
      <c r="AL23" s="53"/>
    </row>
    <row r="24" spans="1:38" x14ac:dyDescent="0.3">
      <c r="A24" t="s">
        <v>299</v>
      </c>
      <c r="B24">
        <f>IF(A24="","",_xlfn.XLOOKUP(A24,Tab_base[Nom + Prénom],Tab_base[Puce], ""))</f>
        <v>8008903</v>
      </c>
      <c r="C24" t="str">
        <f>IF(A24="","",_xlfn.XLOOKUP(A24,Tab_base[Nom + Prénom],Tab_base[Court],""))</f>
        <v>H65</v>
      </c>
      <c r="I24" t="s">
        <v>107</v>
      </c>
      <c r="K24" s="5" t="s">
        <v>624</v>
      </c>
      <c r="L24" t="s">
        <v>623</v>
      </c>
      <c r="M24" s="7" t="s">
        <v>625</v>
      </c>
      <c r="N24" t="s">
        <v>74</v>
      </c>
      <c r="P24" s="5" t="s">
        <v>626</v>
      </c>
      <c r="Q24" s="7" t="s">
        <v>628</v>
      </c>
      <c r="R24" s="7" t="s">
        <v>627</v>
      </c>
      <c r="AC24" s="61"/>
      <c r="AD24" s="61"/>
      <c r="AE24" s="61"/>
      <c r="AF24" s="61"/>
      <c r="AG24" s="61"/>
      <c r="AH24" s="53"/>
      <c r="AI24" s="53"/>
      <c r="AJ24" s="53"/>
      <c r="AK24" s="53"/>
      <c r="AL24" s="53"/>
    </row>
    <row r="25" spans="1:38" x14ac:dyDescent="0.3">
      <c r="A25" t="s">
        <v>305</v>
      </c>
      <c r="B25">
        <f>IF(A25="","",_xlfn.XLOOKUP(A25,Tab_base[Nom + Prénom],Tab_base[Puce], ""))</f>
        <v>8890304</v>
      </c>
      <c r="C25" t="str">
        <f>IF(A25="","",_xlfn.XLOOKUP(A25,Tab_base[Nom + Prénom],Tab_base[Court],""))</f>
        <v>D55</v>
      </c>
      <c r="AC25" s="61" t="s">
        <v>686</v>
      </c>
      <c r="AD25" s="103"/>
      <c r="AE25" s="135">
        <v>1.5497685185185186E-2</v>
      </c>
      <c r="AF25" s="103" t="s">
        <v>769</v>
      </c>
      <c r="AG25" s="103" t="s">
        <v>770</v>
      </c>
      <c r="AH25" s="53" t="s">
        <v>71</v>
      </c>
      <c r="AI25" s="133"/>
      <c r="AJ25" s="53" t="s">
        <v>795</v>
      </c>
      <c r="AK25" s="133" t="s">
        <v>796</v>
      </c>
      <c r="AL25" s="133" t="s">
        <v>797</v>
      </c>
    </row>
    <row r="26" spans="1:38" x14ac:dyDescent="0.3">
      <c r="A26" t="s">
        <v>308</v>
      </c>
      <c r="B26">
        <f>IF(A26="","",_xlfn.XLOOKUP(A26,Tab_base[Nom + Prénom],Tab_base[Puce], ""))</f>
        <v>8890303</v>
      </c>
      <c r="C26" t="str">
        <f>IF(A26="","",_xlfn.XLOOKUP(A26,Tab_base[Nom + Prénom],Tab_base[Court],""))</f>
        <v>H75</v>
      </c>
      <c r="D26" t="s">
        <v>616</v>
      </c>
      <c r="F26" s="5" t="s">
        <v>642</v>
      </c>
      <c r="G26" t="s">
        <v>641</v>
      </c>
      <c r="H26" s="7" t="s">
        <v>643</v>
      </c>
      <c r="X26" t="s">
        <v>542</v>
      </c>
      <c r="Y26" s="3" t="s">
        <v>148</v>
      </c>
      <c r="AC26" s="61"/>
      <c r="AD26" s="61"/>
      <c r="AE26" s="61"/>
      <c r="AF26" s="61"/>
      <c r="AG26" s="61"/>
      <c r="AH26" s="53"/>
      <c r="AI26" s="53"/>
      <c r="AJ26" s="53"/>
      <c r="AK26" s="53"/>
      <c r="AL26" s="53"/>
    </row>
    <row r="27" spans="1:38" ht="13.2" customHeight="1" x14ac:dyDescent="0.3">
      <c r="A27" t="s">
        <v>311</v>
      </c>
      <c r="B27">
        <f>IF(A27="","",_xlfn.XLOOKUP(A27,Tab_base[Nom + Prénom],Tab_base[Puce], ""))</f>
        <v>8547726</v>
      </c>
      <c r="C27" t="str">
        <f>IF(A27="","",_xlfn.XLOOKUP(A27,Tab_base[Nom + Prénom],Tab_base[Court],""))</f>
        <v>H65</v>
      </c>
      <c r="D27" t="s">
        <v>97</v>
      </c>
      <c r="F27" s="5" t="s">
        <v>661</v>
      </c>
      <c r="G27" t="s">
        <v>659</v>
      </c>
      <c r="H27" s="7" t="s">
        <v>660</v>
      </c>
      <c r="X27" t="s">
        <v>97</v>
      </c>
      <c r="Y27" s="3" t="s">
        <v>710</v>
      </c>
      <c r="Z27" s="5" t="s">
        <v>709</v>
      </c>
      <c r="AA27" t="s">
        <v>731</v>
      </c>
      <c r="AC27" s="61" t="s">
        <v>675</v>
      </c>
      <c r="AD27" s="103"/>
      <c r="AE27" s="135">
        <v>1.9490740740740743E-2</v>
      </c>
      <c r="AF27" s="103" t="s">
        <v>759</v>
      </c>
      <c r="AG27" s="103" t="s">
        <v>760</v>
      </c>
      <c r="AH27" s="53" t="s">
        <v>71</v>
      </c>
      <c r="AI27" s="133"/>
      <c r="AJ27" s="53" t="s">
        <v>798</v>
      </c>
      <c r="AK27" s="133" t="s">
        <v>799</v>
      </c>
      <c r="AL27" s="133" t="s">
        <v>800</v>
      </c>
    </row>
    <row r="28" spans="1:38" x14ac:dyDescent="0.3">
      <c r="A28" t="s">
        <v>314</v>
      </c>
      <c r="B28">
        <f>IF(A28="","",_xlfn.XLOOKUP(A28,Tab_base[Nom + Prénom],Tab_base[Puce], ""))</f>
        <v>2158056</v>
      </c>
      <c r="C28" t="str">
        <f>IF(A28="","",_xlfn.XLOOKUP(A28,Tab_base[Nom + Prénom],Tab_base[Court],""))</f>
        <v>D40</v>
      </c>
      <c r="D28" t="s">
        <v>616</v>
      </c>
      <c r="F28" s="5" t="s">
        <v>639</v>
      </c>
      <c r="G28" t="s">
        <v>638</v>
      </c>
      <c r="H28" s="7" t="s">
        <v>640</v>
      </c>
      <c r="AC28" s="61" t="s">
        <v>686</v>
      </c>
      <c r="AD28" s="103"/>
      <c r="AE28" s="135">
        <v>1.9456018518518518E-2</v>
      </c>
      <c r="AF28" s="103" t="s">
        <v>771</v>
      </c>
      <c r="AG28" s="103" t="s">
        <v>772</v>
      </c>
      <c r="AH28" s="53"/>
      <c r="AI28" s="53"/>
      <c r="AJ28" s="53"/>
      <c r="AK28" s="53"/>
      <c r="AL28" s="53"/>
    </row>
    <row r="29" spans="1:38" x14ac:dyDescent="0.3">
      <c r="A29" t="s">
        <v>317</v>
      </c>
      <c r="B29">
        <f>IF(A29="","",_xlfn.XLOOKUP(A29,Tab_base[Nom + Prénom],Tab_base[Puce], ""))</f>
        <v>8890301</v>
      </c>
      <c r="C29" t="str">
        <f>IF(A29="","",_xlfn.XLOOKUP(A29,Tab_base[Nom + Prénom],Tab_base[Court],""))</f>
        <v>D21</v>
      </c>
      <c r="AC29" s="61"/>
      <c r="AD29" s="61"/>
      <c r="AE29" s="61"/>
      <c r="AF29" s="61"/>
      <c r="AG29" s="61"/>
      <c r="AH29" s="53"/>
      <c r="AI29" s="53"/>
      <c r="AJ29" s="53"/>
      <c r="AK29" s="53"/>
      <c r="AL29" s="53"/>
    </row>
    <row r="30" spans="1:38" x14ac:dyDescent="0.3">
      <c r="A30" t="s">
        <v>319</v>
      </c>
      <c r="B30">
        <f>IF(A30="","",_xlfn.XLOOKUP(A30,Tab_base[Nom + Prénom],Tab_base[Puce], ""))</f>
        <v>8280173</v>
      </c>
      <c r="C30" t="str">
        <f>IF(A30="","",_xlfn.XLOOKUP(A30,Tab_base[Nom + Prénom],Tab_base[Court],""))</f>
        <v>H50</v>
      </c>
      <c r="AC30" s="61"/>
      <c r="AD30" s="61"/>
      <c r="AE30" s="61"/>
      <c r="AF30" s="61"/>
      <c r="AG30" s="61"/>
      <c r="AH30" s="53"/>
      <c r="AI30" s="53"/>
      <c r="AJ30" s="53"/>
      <c r="AK30" s="53"/>
      <c r="AL30" s="53"/>
    </row>
    <row r="31" spans="1:38" x14ac:dyDescent="0.3">
      <c r="A31" t="s">
        <v>322</v>
      </c>
      <c r="B31">
        <f>IF(A31="","",_xlfn.XLOOKUP(A31,Tab_base[Nom + Prénom],Tab_base[Puce], ""))</f>
        <v>8212535</v>
      </c>
      <c r="C31" t="str">
        <f>IF(A31="","",_xlfn.XLOOKUP(A31,Tab_base[Nom + Prénom],Tab_base[Court],""))</f>
        <v>H20</v>
      </c>
      <c r="AC31" s="61"/>
      <c r="AD31" s="61"/>
      <c r="AE31" s="61"/>
      <c r="AF31" s="61"/>
      <c r="AG31" s="61"/>
      <c r="AH31" s="53"/>
      <c r="AI31" s="53"/>
      <c r="AJ31" s="53"/>
      <c r="AK31" s="53"/>
      <c r="AL31" s="53"/>
    </row>
    <row r="32" spans="1:38" x14ac:dyDescent="0.3">
      <c r="A32" t="s">
        <v>326</v>
      </c>
      <c r="B32">
        <f>IF(A32="","",_xlfn.XLOOKUP(A32,Tab_base[Nom + Prénom],Tab_base[Puce], ""))</f>
        <v>1890307</v>
      </c>
      <c r="C32" t="str">
        <f>IF(A32="","",_xlfn.XLOOKUP(A32,Tab_base[Nom + Prénom],Tab_base[Court],""))</f>
        <v>D65</v>
      </c>
      <c r="AC32" s="61" t="s">
        <v>686</v>
      </c>
      <c r="AD32" s="103"/>
      <c r="AE32" s="135">
        <v>2.7893518518518515E-2</v>
      </c>
      <c r="AF32" s="103" t="s">
        <v>773</v>
      </c>
      <c r="AG32" s="103" t="s">
        <v>774</v>
      </c>
      <c r="AH32" s="53"/>
      <c r="AI32" s="53"/>
      <c r="AJ32" s="53"/>
      <c r="AK32" s="53"/>
      <c r="AL32" s="53"/>
    </row>
    <row r="33" spans="1:99" x14ac:dyDescent="0.3">
      <c r="A33" t="s">
        <v>328</v>
      </c>
      <c r="B33">
        <f>IF(A33="","",_xlfn.XLOOKUP(A33,Tab_base[Nom + Prénom],Tab_base[Puce], ""))</f>
        <v>8005961</v>
      </c>
      <c r="C33" t="str">
        <f>IF(A33="","",_xlfn.XLOOKUP(A33,Tab_base[Nom + Prénom],Tab_base[Court],""))</f>
        <v>H65</v>
      </c>
      <c r="D33" t="s">
        <v>97</v>
      </c>
      <c r="F33" s="5" t="s">
        <v>647</v>
      </c>
      <c r="G33" t="s">
        <v>648</v>
      </c>
      <c r="H33" s="7" t="s">
        <v>649</v>
      </c>
      <c r="I33" t="s">
        <v>564</v>
      </c>
      <c r="J33" s="3" t="s">
        <v>564</v>
      </c>
      <c r="L33" t="s">
        <v>564</v>
      </c>
      <c r="M33" s="7" t="s">
        <v>564</v>
      </c>
      <c r="X33" t="s">
        <v>78</v>
      </c>
      <c r="Y33" s="3" t="s">
        <v>715</v>
      </c>
      <c r="Z33" s="5" t="s">
        <v>725</v>
      </c>
      <c r="AA33" t="s">
        <v>716</v>
      </c>
      <c r="AC33" s="61" t="s">
        <v>675</v>
      </c>
      <c r="AD33" s="103"/>
      <c r="AE33" s="135">
        <v>1.7685185185185182E-2</v>
      </c>
      <c r="AF33" s="103" t="s">
        <v>761</v>
      </c>
      <c r="AG33" s="103" t="s">
        <v>762</v>
      </c>
      <c r="AH33" s="53" t="s">
        <v>71</v>
      </c>
      <c r="AI33" s="133"/>
      <c r="AJ33" s="53" t="s">
        <v>801</v>
      </c>
      <c r="AK33" s="53" t="s">
        <v>575</v>
      </c>
      <c r="AL33" s="133" t="s">
        <v>802</v>
      </c>
    </row>
    <row r="34" spans="1:99" x14ac:dyDescent="0.3">
      <c r="A34" t="s">
        <v>331</v>
      </c>
      <c r="B34">
        <f>IF(A34="","",_xlfn.XLOOKUP(A34,Tab_base[Nom + Prénom],Tab_base[Puce], ""))</f>
        <v>8533480</v>
      </c>
      <c r="C34" t="str">
        <f>IF(A34="","",_xlfn.XLOOKUP(A34,Tab_base[Nom + Prénom],Tab_base[Court],""))</f>
        <v>H40</v>
      </c>
      <c r="D34" t="s">
        <v>78</v>
      </c>
      <c r="F34" s="5" t="s">
        <v>667</v>
      </c>
      <c r="G34" t="s">
        <v>666</v>
      </c>
      <c r="H34" s="7" t="s">
        <v>665</v>
      </c>
      <c r="I34" t="s">
        <v>564</v>
      </c>
      <c r="J34" s="3" t="s">
        <v>564</v>
      </c>
      <c r="L34" t="s">
        <v>564</v>
      </c>
      <c r="M34" s="7" t="s">
        <v>564</v>
      </c>
      <c r="X34" t="s">
        <v>542</v>
      </c>
      <c r="Y34" s="3" t="s">
        <v>736</v>
      </c>
      <c r="Z34" s="5" t="s">
        <v>735</v>
      </c>
      <c r="AA34" t="s">
        <v>737</v>
      </c>
      <c r="AC34" s="61"/>
      <c r="AD34" s="61"/>
      <c r="AE34" s="61"/>
      <c r="AF34" s="61"/>
      <c r="AG34" s="61"/>
      <c r="AH34" s="53"/>
      <c r="AI34" s="53"/>
      <c r="AJ34" s="53"/>
      <c r="AK34" s="53"/>
      <c r="AL34" s="53"/>
    </row>
    <row r="35" spans="1:99" x14ac:dyDescent="0.3">
      <c r="A35" t="s">
        <v>334</v>
      </c>
      <c r="B35">
        <f>IF(A35="","",_xlfn.XLOOKUP(A35,Tab_base[Nom + Prénom],Tab_base[Puce], ""))</f>
        <v>2107868</v>
      </c>
      <c r="C35" t="str">
        <f>IF(A35="","",_xlfn.XLOOKUP(A35,Tab_base[Nom + Prénom],Tab_base[Court],""))</f>
        <v>D16</v>
      </c>
      <c r="X35" t="s">
        <v>615</v>
      </c>
      <c r="Y35" s="3" t="s">
        <v>697</v>
      </c>
      <c r="Z35" s="5" t="s">
        <v>565</v>
      </c>
      <c r="AA35" t="s">
        <v>698</v>
      </c>
      <c r="AC35" s="61"/>
      <c r="AD35" s="61"/>
      <c r="AE35" s="61"/>
      <c r="AF35" s="61"/>
      <c r="AG35" s="61"/>
      <c r="AH35" s="53"/>
      <c r="AI35" s="53"/>
      <c r="AJ35" s="53"/>
      <c r="AK35" s="53"/>
      <c r="AL35" s="53"/>
    </row>
    <row r="36" spans="1:99" x14ac:dyDescent="0.3">
      <c r="A36" t="s">
        <v>336</v>
      </c>
      <c r="B36">
        <f>IF(A36="","",_xlfn.XLOOKUP(A36,Tab_base[Nom + Prénom],Tab_base[Puce], ""))</f>
        <v>349306</v>
      </c>
      <c r="C36" t="str">
        <f>IF(A36="","",_xlfn.XLOOKUP(A36,Tab_base[Nom + Prénom],Tab_base[Court],""))</f>
        <v>H20</v>
      </c>
      <c r="D36" t="s">
        <v>97</v>
      </c>
      <c r="F36" s="5" t="s">
        <v>653</v>
      </c>
      <c r="G36" t="s">
        <v>654</v>
      </c>
      <c r="H36" s="7" t="s">
        <v>655</v>
      </c>
      <c r="X36" t="s">
        <v>542</v>
      </c>
      <c r="Y36" s="3" t="s">
        <v>733</v>
      </c>
      <c r="Z36" s="5" t="s">
        <v>734</v>
      </c>
      <c r="AA36" t="s">
        <v>732</v>
      </c>
      <c r="AC36" s="61"/>
      <c r="AD36" s="61"/>
      <c r="AE36" s="61"/>
      <c r="AF36" s="61"/>
      <c r="AG36" s="61"/>
      <c r="AH36" s="53"/>
      <c r="AI36" s="53"/>
      <c r="AJ36" s="53"/>
      <c r="AK36" s="53"/>
      <c r="AL36" s="53"/>
    </row>
    <row r="37" spans="1:99" x14ac:dyDescent="0.3">
      <c r="A37" t="s">
        <v>343</v>
      </c>
      <c r="B37">
        <f>IF(A37="","",_xlfn.XLOOKUP(A37,Tab_base[Nom + Prénom],Tab_base[Puce], ""))</f>
        <v>8546861</v>
      </c>
      <c r="C37" t="str">
        <f>IF(A37="","",_xlfn.XLOOKUP(A37,Tab_base[Nom + Prénom],Tab_base[Court],""))</f>
        <v>D50</v>
      </c>
      <c r="X37" t="s">
        <v>613</v>
      </c>
      <c r="Y37" s="3" t="s">
        <v>703</v>
      </c>
      <c r="Z37" s="5" t="s">
        <v>721</v>
      </c>
      <c r="AA37" t="s">
        <v>704</v>
      </c>
      <c r="AC37" s="61" t="s">
        <v>686</v>
      </c>
      <c r="AD37" s="103"/>
      <c r="AE37" s="61" t="s">
        <v>148</v>
      </c>
      <c r="AF37" s="61"/>
      <c r="AG37" s="61"/>
      <c r="AH37" s="53" t="s">
        <v>71</v>
      </c>
      <c r="AI37" s="133"/>
      <c r="AJ37" s="53" t="s">
        <v>803</v>
      </c>
      <c r="AK37" s="133" t="s">
        <v>804</v>
      </c>
      <c r="AL37" s="133" t="s">
        <v>708</v>
      </c>
    </row>
    <row r="38" spans="1:99" x14ac:dyDescent="0.3">
      <c r="A38" t="s">
        <v>346</v>
      </c>
      <c r="B38">
        <f>IF(A38="","",_xlfn.XLOOKUP(A38,Tab_base[Nom + Prénom],Tab_base[Puce], ""))</f>
        <v>8509002</v>
      </c>
      <c r="C38" t="str">
        <f>IF(A38="","",_xlfn.XLOOKUP(A38,Tab_base[Nom + Prénom],Tab_base[Court],""))</f>
        <v>H55</v>
      </c>
      <c r="D38" t="s">
        <v>78</v>
      </c>
      <c r="E38" s="3" t="s">
        <v>564</v>
      </c>
      <c r="F38" s="5" t="s">
        <v>662</v>
      </c>
      <c r="G38" t="s">
        <v>664</v>
      </c>
      <c r="H38" s="7" t="s">
        <v>663</v>
      </c>
      <c r="I38" t="s">
        <v>564</v>
      </c>
      <c r="J38" s="3" t="s">
        <v>564</v>
      </c>
      <c r="L38" t="s">
        <v>564</v>
      </c>
      <c r="M38" s="7" t="s">
        <v>564</v>
      </c>
      <c r="N38" t="s">
        <v>564</v>
      </c>
      <c r="O38" s="3" t="s">
        <v>564</v>
      </c>
      <c r="Q38" s="7" t="s">
        <v>564</v>
      </c>
      <c r="R38" s="7" t="s">
        <v>564</v>
      </c>
      <c r="AC38" s="61"/>
      <c r="AD38" s="61"/>
      <c r="AE38" s="61"/>
      <c r="AF38" s="61"/>
      <c r="AG38" s="61"/>
      <c r="AH38" s="54"/>
      <c r="AI38" s="54"/>
      <c r="AJ38" s="54" t="str">
        <f>IF(AH38="","",_xlfn.XLOOKUP(AH38,Tab_base[ptSPR],Tab_base[Licence],""))</f>
        <v/>
      </c>
      <c r="AK38" s="53"/>
      <c r="AL38" s="53"/>
    </row>
    <row r="39" spans="1:99" x14ac:dyDescent="0.3">
      <c r="A39" t="s">
        <v>351</v>
      </c>
      <c r="B39">
        <f>IF(A39="","",_xlfn.XLOOKUP(A39,Tab_base[Nom + Prénom],Tab_base[Puce], ""))</f>
        <v>2158060</v>
      </c>
      <c r="C39" t="str">
        <f>IF(A39="","",_xlfn.XLOOKUP(A39,Tab_base[Nom + Prénom],Tab_base[Court],""))</f>
        <v>D50</v>
      </c>
      <c r="X39" t="s">
        <v>549</v>
      </c>
      <c r="Y39" s="3" t="s">
        <v>693</v>
      </c>
      <c r="Z39" s="5" t="s">
        <v>719</v>
      </c>
      <c r="AA39" t="s">
        <v>694</v>
      </c>
      <c r="AC39" s="61"/>
      <c r="AD39" s="61"/>
      <c r="AE39" s="61"/>
      <c r="AF39" s="61"/>
      <c r="AG39" s="61"/>
      <c r="AH39" s="53"/>
      <c r="AI39" s="53"/>
      <c r="AJ39" s="53"/>
      <c r="AK39" s="53"/>
      <c r="AL39" s="53"/>
    </row>
    <row r="40" spans="1:99" x14ac:dyDescent="0.3">
      <c r="A40" t="s">
        <v>681</v>
      </c>
      <c r="B40">
        <f>IF(A40="","",_xlfn.XLOOKUP(A40,Tab_base[Nom + Prénom],Tab_base[Puce], ""))</f>
        <v>0</v>
      </c>
      <c r="C40">
        <f>IF(A40="","",_xlfn.XLOOKUP(A40,Tab_base[Nom + Prénom],Tab_base[Court],""))</f>
        <v>0</v>
      </c>
    </row>
    <row r="41" spans="1:99" s="131" customFormat="1" x14ac:dyDescent="0.3">
      <c r="A41" s="131" t="s">
        <v>689</v>
      </c>
      <c r="B41" s="131" t="str">
        <f>IF(A41="","",_xlfn.XLOOKUP(A41,Tab_base[Nom + Prénom],Tab_base[Puce], ""))</f>
        <v>.</v>
      </c>
      <c r="C41" s="131" t="str">
        <f>IF(A41="","",_xlfn.XLOOKUP(A41,Tab_base[Nom + Prénom],Tab_base[Court],""))</f>
        <v>.</v>
      </c>
      <c r="F41" s="131">
        <f>IF(COUNTA(F3:F40)=0,"",COUNTA(F3:F40))</f>
        <v>18</v>
      </c>
      <c r="K41" s="131">
        <f>IF(COUNTA(K3:K40)=0,"",COUNTA(K3:K40))</f>
        <v>1</v>
      </c>
      <c r="P41" s="131">
        <f>IF(COUNTA(P3:P40)=0,"",COUNTA(P3:P40))</f>
        <v>1</v>
      </c>
      <c r="U41" s="131" t="str">
        <f>IF(COUNTA(U3:U40)=0,"",COUNTA(U3:U40))</f>
        <v/>
      </c>
      <c r="X41" s="131">
        <f>IF(COUNTIF(X3:X40, "&lt;&gt;")=0, "", COUNTIF(X3:X40, "&lt;&gt;"))</f>
        <v>21</v>
      </c>
      <c r="AC41" s="131">
        <f>IF(COUNTIF(AC3:AC40, "&lt;&gt;")=0, "", COUNTIF(AC3:AC40, "&lt;&gt;"))</f>
        <v>20</v>
      </c>
      <c r="AE41" s="131">
        <f>IF(COUNTA(AE3:AE40)=0,"",COUNTA(AE3:AE40))</f>
        <v>20</v>
      </c>
      <c r="AH41" s="131">
        <f>IF(COUNTIF(AH3:AH40, "&lt;&gt;")=0, "", COUNTIF(AH3:AH40, "&lt;&gt;"))</f>
        <v>14</v>
      </c>
      <c r="AM41" s="131" t="str">
        <f>IF(COUNTIF(AM3:AM40, "&lt;&gt;")=0, "", COUNTIF(AM3:AM40, "&lt;&gt;"))</f>
        <v/>
      </c>
      <c r="AR41" s="131" t="str">
        <f>IF(COUNTIF(AR3:AR40, "&lt;&gt;")=0, "", COUNTIF(AR3:AR40, "&lt;&gt;"))</f>
        <v/>
      </c>
      <c r="AW41" s="131" t="str">
        <f>IF(COUNTIF(AW3:AW40, "&lt;&gt;")=0, "", COUNTIF(AW3:AW40, "&lt;&gt;"))</f>
        <v/>
      </c>
      <c r="BB41" s="131" t="str">
        <f>IF(COUNTIF(BB3:BB40, "&lt;&gt;")=0, "", COUNTIF(BB3:BB40, "&lt;&gt;"))</f>
        <v/>
      </c>
      <c r="BG41" s="131" t="str">
        <f>IF(COUNTIF(BG3:BG40, "&lt;&gt;")=0, "", COUNTIF(BG3:BG40, "&lt;&gt;"))</f>
        <v/>
      </c>
      <c r="BL41" s="131" t="str">
        <f>IF(COUNTIF(BL3:BL40, "&lt;&gt;")=0, "", COUNTIF(BL3:BL40, "&lt;&gt;"))</f>
        <v/>
      </c>
      <c r="BQ41" s="131" t="str">
        <f>IF(COUNTIF(BQ3:BQ40, "&lt;&gt;")=0, "", COUNTIF(BQ3:BQ40, "&lt;&gt;"))</f>
        <v/>
      </c>
      <c r="BV41" s="131" t="str">
        <f>IF(COUNTIF(BV3:BV40, "&lt;&gt;")=0, "", COUNTIF(BV3:BV40, "&lt;&gt;"))</f>
        <v/>
      </c>
      <c r="CA41" s="131" t="str">
        <f>IF(COUNTIF(CA3:CA40, "&lt;&gt;")=0, "", COUNTIF(CA3:CA40, "&lt;&gt;"))</f>
        <v/>
      </c>
      <c r="CF41" s="131" t="str">
        <f>IF(COUNTIF(CF3:CF40, "&lt;&gt;")=0, "", COUNTIF(CF3:CF40, "&lt;&gt;"))</f>
        <v/>
      </c>
      <c r="CK41" s="131" t="str">
        <f>IF(COUNTIF(CK3:CK40, "&lt;&gt;")=0, "", COUNTIF(CK3:CK40, "&lt;&gt;"))</f>
        <v/>
      </c>
      <c r="CP41" s="131" t="str">
        <f>IF(COUNTIF(CP3:CP40, "&lt;&gt;")=0, "", COUNTIF(CP3:CP40, "&lt;&gt;"))</f>
        <v/>
      </c>
      <c r="CU41" s="131" t="str">
        <f>IF(COUNTIF(CU3:CU40, "&lt;&gt;")=0, "", COUNTIF(CU3:CU40, "&lt;&gt;"))</f>
        <v/>
      </c>
    </row>
    <row r="42" spans="1:99" x14ac:dyDescent="0.3">
      <c r="B42" t="str">
        <f>IF(A42="","",_xlfn.XLOOKUP(A42,Tab_base[Nom + Prénom],Tab_base[Puce], ""))</f>
        <v/>
      </c>
      <c r="C42" t="str">
        <f>IF(A42="","",_xlfn.XLOOKUP(A42,Tab_base[Nom + Prénom],Tab_base[Court],""))</f>
        <v/>
      </c>
    </row>
    <row r="43" spans="1:99" ht="13.2" customHeight="1" x14ac:dyDescent="0.3">
      <c r="B43" t="str">
        <f>IF(A43="","",_xlfn.XLOOKUP(A43,Tab_base[Nom + Prénom],Tab_base[Puce], ""))</f>
        <v/>
      </c>
      <c r="C43" t="str">
        <f>IF(A43="","",_xlfn.XLOOKUP(A43,Tab_base[Nom + Prénom],Tab_base[Court],""))</f>
        <v/>
      </c>
    </row>
    <row r="50" spans="60:79" x14ac:dyDescent="0.3">
      <c r="BW50"/>
      <c r="BX50" s="3"/>
      <c r="BY50" s="5"/>
      <c r="BZ50"/>
      <c r="CA50" s="7"/>
    </row>
    <row r="54" spans="60:79" x14ac:dyDescent="0.3">
      <c r="BH54"/>
      <c r="BI54"/>
      <c r="BK54"/>
      <c r="BM54"/>
      <c r="BN54"/>
      <c r="BP54"/>
      <c r="BR54"/>
      <c r="BS54"/>
      <c r="BU54"/>
      <c r="BW54"/>
      <c r="BX54"/>
      <c r="BZ54"/>
    </row>
    <row r="60" spans="60:79" x14ac:dyDescent="0.3">
      <c r="BW60"/>
      <c r="BX60"/>
      <c r="BZ60"/>
    </row>
    <row r="61" spans="60:79" x14ac:dyDescent="0.3">
      <c r="BW61"/>
      <c r="BX61"/>
      <c r="BZ61"/>
    </row>
    <row r="62" spans="60:79" x14ac:dyDescent="0.3">
      <c r="BW62"/>
      <c r="BX62"/>
      <c r="BZ62"/>
    </row>
    <row r="63" spans="60:79" x14ac:dyDescent="0.3">
      <c r="BW63"/>
      <c r="BX63"/>
      <c r="BZ63"/>
    </row>
    <row r="64" spans="60:79" x14ac:dyDescent="0.3">
      <c r="BW64"/>
      <c r="BX64"/>
      <c r="BZ64"/>
    </row>
    <row r="65" spans="75:78" x14ac:dyDescent="0.3">
      <c r="BW65"/>
      <c r="BX65"/>
      <c r="BZ65"/>
    </row>
    <row r="66" spans="75:78" x14ac:dyDescent="0.3">
      <c r="BW66"/>
      <c r="BX66"/>
      <c r="BZ66"/>
    </row>
    <row r="67" spans="75:78" x14ac:dyDescent="0.3">
      <c r="BW67"/>
      <c r="BX67"/>
      <c r="BZ67"/>
    </row>
    <row r="71" spans="75:78" x14ac:dyDescent="0.3">
      <c r="BW71"/>
    </row>
  </sheetData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6C87E6A-4334-471A-BD56-B71BD0DF8313}">
          <x14:formula1>
            <xm:f>base!$Y$2:$Y$93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01795-C3D1-4EA7-B84E-4ED9F3F10454}">
  <sheetPr codeName="Feuil6"/>
  <dimension ref="A1:CU111"/>
  <sheetViews>
    <sheetView zoomScaleNormal="100" workbookViewId="0">
      <pane xSplit="3" ySplit="2" topLeftCell="D21" activePane="bottomRight" state="frozen"/>
      <selection pane="topRight" activeCell="D1" sqref="D1"/>
      <selection pane="bottomLeft" activeCell="A3" sqref="A3"/>
      <selection pane="bottomRight" activeCell="A35" sqref="A35:XFD35"/>
    </sheetView>
  </sheetViews>
  <sheetFormatPr baseColWidth="10" defaultColWidth="9.109375" defaultRowHeight="14.4" x14ac:dyDescent="0.3"/>
  <cols>
    <col min="1" max="1" width="18.21875" style="28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3" bestFit="1" customWidth="1"/>
    <col min="6" max="6" width="7.109375" style="5" bestFit="1" customWidth="1"/>
    <col min="7" max="7" width="5.77734375" bestFit="1" customWidth="1"/>
    <col min="8" max="8" width="8.109375" style="7" bestFit="1" customWidth="1"/>
    <col min="9" max="9" width="21.21875" bestFit="1" customWidth="1"/>
    <col min="10" max="10" width="6.109375" style="3" bestFit="1" customWidth="1"/>
    <col min="11" max="11" width="7.109375" style="5" bestFit="1" customWidth="1"/>
    <col min="12" max="12" width="5.77734375" bestFit="1" customWidth="1"/>
    <col min="13" max="13" width="6.5546875" style="7" bestFit="1" customWidth="1"/>
    <col min="14" max="14" width="30.21875" bestFit="1" customWidth="1"/>
    <col min="15" max="15" width="6.109375" style="3" bestFit="1" customWidth="1"/>
    <col min="16" max="16" width="8.109375" style="7" bestFit="1" customWidth="1"/>
    <col min="17" max="17" width="4.5546875" style="7" bestFit="1" customWidth="1"/>
    <col min="18" max="18" width="5.21875" style="7" bestFit="1" customWidth="1"/>
    <col min="19" max="19" width="28.77734375" bestFit="1" customWidth="1"/>
    <col min="20" max="20" width="6.109375" style="3" bestFit="1" customWidth="1"/>
    <col min="21" max="21" width="7.109375" style="5" bestFit="1" customWidth="1"/>
    <col min="22" max="22" width="6.5546875" style="7" bestFit="1" customWidth="1"/>
    <col min="23" max="23" width="5.21875" style="7" bestFit="1" customWidth="1"/>
    <col min="24" max="24" width="26.33203125" bestFit="1" customWidth="1"/>
    <col min="25" max="25" width="6.109375" style="7" bestFit="1" customWidth="1"/>
    <col min="26" max="26" width="8.109375" style="7" bestFit="1" customWidth="1"/>
    <col min="27" max="27" width="7.6640625" style="7" bestFit="1" customWidth="1"/>
    <col min="28" max="28" width="6.77734375" style="7" bestFit="1" customWidth="1"/>
    <col min="29" max="29" width="27.77734375" bestFit="1" customWidth="1"/>
    <col min="30" max="30" width="6.33203125" customWidth="1"/>
    <col min="31" max="31" width="6" style="7" bestFit="1" customWidth="1"/>
    <col min="32" max="32" width="6.6640625" bestFit="1" customWidth="1"/>
    <col min="33" max="33" width="5.21875" style="7" bestFit="1" customWidth="1"/>
    <col min="34" max="34" width="26.88671875" bestFit="1" customWidth="1"/>
    <col min="35" max="35" width="6.109375" style="3" bestFit="1" customWidth="1"/>
    <col min="36" max="36" width="8.109375" style="5" bestFit="1" customWidth="1"/>
    <col min="37" max="37" width="7.44140625" style="7" bestFit="1" customWidth="1"/>
    <col min="38" max="38" width="5.21875" style="7" bestFit="1" customWidth="1"/>
    <col min="39" max="39" width="24.44140625" bestFit="1" customWidth="1"/>
    <col min="40" max="40" width="6.109375" style="3" bestFit="1" customWidth="1"/>
    <col min="41" max="41" width="8.109375" style="5" bestFit="1" customWidth="1"/>
    <col min="42" max="42" width="5.77734375" style="7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7.109375" style="5" bestFit="1" customWidth="1"/>
    <col min="47" max="47" width="6.5546875" bestFit="1" customWidth="1"/>
    <col min="48" max="48" width="5.21875" style="7" bestFit="1" customWidth="1"/>
  </cols>
  <sheetData>
    <row r="1" spans="1:48" ht="58.8" customHeight="1" x14ac:dyDescent="0.3">
      <c r="A1" s="28" t="s">
        <v>0</v>
      </c>
      <c r="D1" t="s">
        <v>79</v>
      </c>
      <c r="I1" t="s">
        <v>80</v>
      </c>
      <c r="N1" t="s">
        <v>81</v>
      </c>
      <c r="S1" t="s">
        <v>82</v>
      </c>
      <c r="X1" t="s">
        <v>1</v>
      </c>
      <c r="AC1" t="s">
        <v>515</v>
      </c>
      <c r="AH1" t="s">
        <v>83</v>
      </c>
      <c r="AM1" t="s">
        <v>84</v>
      </c>
      <c r="AR1" t="s">
        <v>2</v>
      </c>
    </row>
    <row r="2" spans="1:48" x14ac:dyDescent="0.3">
      <c r="A2" s="28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7" t="s">
        <v>17</v>
      </c>
      <c r="Q2" s="7" t="s">
        <v>18</v>
      </c>
      <c r="R2" s="7" t="s">
        <v>499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498</v>
      </c>
      <c r="X2" s="1" t="s">
        <v>23</v>
      </c>
      <c r="Y2" s="8" t="s">
        <v>24</v>
      </c>
      <c r="Z2" s="8" t="s">
        <v>25</v>
      </c>
      <c r="AA2" s="8" t="s">
        <v>26</v>
      </c>
      <c r="AB2" s="8" t="s">
        <v>486</v>
      </c>
      <c r="AC2" s="1" t="s">
        <v>27</v>
      </c>
      <c r="AD2" s="1" t="s">
        <v>28</v>
      </c>
      <c r="AE2" s="8" t="s">
        <v>29</v>
      </c>
      <c r="AF2" s="1" t="s">
        <v>30</v>
      </c>
      <c r="AG2" s="8" t="s">
        <v>487</v>
      </c>
      <c r="AH2" t="s">
        <v>31</v>
      </c>
      <c r="AI2" s="3" t="s">
        <v>32</v>
      </c>
      <c r="AJ2" s="5" t="s">
        <v>33</v>
      </c>
      <c r="AK2" s="7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s="7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</row>
    <row r="3" spans="1:48" x14ac:dyDescent="0.3">
      <c r="A3" s="28" t="s">
        <v>217</v>
      </c>
      <c r="B3">
        <f>IF(A3="","",_xlfn.XLOOKUP(A3,Tab_base[Nom + Prénom],Tab_base[Puce], ""))</f>
        <v>8050858</v>
      </c>
      <c r="C3" t="str">
        <f>IF(A3="","",_xlfn.XLOOKUP(A3,Tab_base[Nom + Prénom],Tab_base[Court],""))</f>
        <v>H65</v>
      </c>
      <c r="D3" t="s">
        <v>78</v>
      </c>
      <c r="F3" s="5">
        <v>4.6423611111111117E-2</v>
      </c>
      <c r="G3" s="4" t="s">
        <v>87</v>
      </c>
      <c r="H3" s="7" t="s">
        <v>88</v>
      </c>
      <c r="AM3" t="s">
        <v>97</v>
      </c>
      <c r="AO3" s="38" t="s">
        <v>597</v>
      </c>
      <c r="AP3" s="8" t="s">
        <v>572</v>
      </c>
      <c r="AQ3" s="8" t="s">
        <v>571</v>
      </c>
      <c r="AR3" t="s">
        <v>71</v>
      </c>
      <c r="AT3" s="5">
        <v>4.5868055555555558E-2</v>
      </c>
      <c r="AU3" s="1" t="s">
        <v>562</v>
      </c>
      <c r="AV3" s="8" t="s">
        <v>563</v>
      </c>
    </row>
    <row r="4" spans="1:48" x14ac:dyDescent="0.3">
      <c r="A4" s="28" t="s">
        <v>223</v>
      </c>
      <c r="B4">
        <f>IF(A4="","",_xlfn.XLOOKUP(A4,Tab_base[Nom + Prénom],Tab_base[Puce], ""))</f>
        <v>8581786</v>
      </c>
      <c r="C4" t="str">
        <f>IF(A4="","",_xlfn.XLOOKUP(A4,Tab_base[Nom + Prénom],Tab_base[Court],""))</f>
        <v>H21</v>
      </c>
      <c r="D4" t="s">
        <v>90</v>
      </c>
      <c r="F4" s="5">
        <v>3.3101851851851848E-2</v>
      </c>
      <c r="G4" t="s">
        <v>91</v>
      </c>
      <c r="H4" s="7" t="s">
        <v>92</v>
      </c>
      <c r="AH4" t="s">
        <v>93</v>
      </c>
      <c r="AJ4" s="38" t="s">
        <v>598</v>
      </c>
      <c r="AK4" s="37" t="s">
        <v>552</v>
      </c>
      <c r="AL4" s="8" t="s">
        <v>551</v>
      </c>
      <c r="AM4" t="s">
        <v>90</v>
      </c>
      <c r="AO4" s="38" t="s">
        <v>596</v>
      </c>
      <c r="AP4" s="8" t="s">
        <v>567</v>
      </c>
      <c r="AQ4" s="8" t="s">
        <v>568</v>
      </c>
      <c r="AR4" t="s">
        <v>93</v>
      </c>
      <c r="AT4" s="5">
        <v>7.9652777777777781E-2</v>
      </c>
      <c r="AU4" s="1" t="s">
        <v>560</v>
      </c>
      <c r="AV4" s="8" t="s">
        <v>561</v>
      </c>
    </row>
    <row r="5" spans="1:48" x14ac:dyDescent="0.3">
      <c r="A5" s="28" t="s">
        <v>231</v>
      </c>
      <c r="B5">
        <f>IF(A5="","",_xlfn.XLOOKUP(A5,Tab_base[Nom + Prénom],Tab_base[Puce], ""))</f>
        <v>8500434</v>
      </c>
      <c r="C5" t="str">
        <f>IF(A5="","",_xlfn.XLOOKUP(A5,Tab_base[Nom + Prénom],Tab_base[Court],""))</f>
        <v>H45</v>
      </c>
    </row>
    <row r="6" spans="1:48" x14ac:dyDescent="0.3">
      <c r="A6" s="28" t="s">
        <v>236</v>
      </c>
      <c r="B6">
        <f>IF(A6="","",_xlfn.XLOOKUP(A6,Tab_base[Nom + Prénom],Tab_base[Puce], ""))</f>
        <v>8171016</v>
      </c>
      <c r="C6" t="str">
        <f>IF(A6="","",_xlfn.XLOOKUP(A6,Tab_base[Nom + Prénom],Tab_base[Court],""))</f>
        <v>D20</v>
      </c>
      <c r="G6" s="4"/>
      <c r="X6" t="s">
        <v>76</v>
      </c>
      <c r="Z6" s="8" t="s">
        <v>505</v>
      </c>
      <c r="AA6" s="8" t="s">
        <v>504</v>
      </c>
      <c r="AB6" s="8" t="s">
        <v>517</v>
      </c>
      <c r="AC6" t="s">
        <v>95</v>
      </c>
    </row>
    <row r="7" spans="1:48" x14ac:dyDescent="0.3">
      <c r="A7" s="28" t="s">
        <v>239</v>
      </c>
      <c r="B7">
        <f>IF(A7="","",_xlfn.XLOOKUP(A7,Tab_base[Nom + Prénom],Tab_base[Puce], ""))</f>
        <v>8534679</v>
      </c>
      <c r="C7" t="str">
        <f>IF(A7="","",_xlfn.XLOOKUP(A7,Tab_base[Nom + Prénom],Tab_base[Court],""))</f>
        <v>H14</v>
      </c>
      <c r="G7" s="4"/>
    </row>
    <row r="8" spans="1:48" x14ac:dyDescent="0.3">
      <c r="A8" s="28" t="s">
        <v>241</v>
      </c>
      <c r="B8">
        <f>IF(A8="","",_xlfn.XLOOKUP(A8,Tab_base[Nom + Prénom],Tab_base[Puce], ""))</f>
        <v>8534692</v>
      </c>
      <c r="C8" t="str">
        <f>IF(A8="","",_xlfn.XLOOKUP(A8,Tab_base[Nom + Prénom],Tab_base[Court],""))</f>
        <v>H40</v>
      </c>
      <c r="G8" s="4"/>
    </row>
    <row r="9" spans="1:48" x14ac:dyDescent="0.3">
      <c r="A9" s="28" t="s">
        <v>243</v>
      </c>
      <c r="B9">
        <f>IF(A9="","",_xlfn.XLOOKUP(A9,Tab_base[Nom + Prénom],Tab_base[Puce], ""))</f>
        <v>2158061</v>
      </c>
      <c r="C9" t="str">
        <f>IF(A9="","",_xlfn.XLOOKUP(A9,Tab_base[Nom + Prénom],Tab_base[Court],""))</f>
        <v>D10</v>
      </c>
      <c r="G9" s="4"/>
    </row>
    <row r="10" spans="1:48" x14ac:dyDescent="0.3">
      <c r="A10" s="28" t="s">
        <v>246</v>
      </c>
      <c r="B10">
        <f>IF(A10="","",_xlfn.XLOOKUP(A10,Tab_base[Nom + Prénom],Tab_base[Puce], ""))</f>
        <v>8545607</v>
      </c>
      <c r="C10" t="str">
        <f>IF(A10="","",_xlfn.XLOOKUP(A10,Tab_base[Nom + Prénom],Tab_base[Court],""))</f>
        <v>D70</v>
      </c>
      <c r="D10" t="s">
        <v>97</v>
      </c>
      <c r="F10" s="5">
        <v>6.3055555555555545E-2</v>
      </c>
      <c r="G10" t="s">
        <v>98</v>
      </c>
      <c r="H10" s="7" t="s">
        <v>99</v>
      </c>
    </row>
    <row r="11" spans="1:48" x14ac:dyDescent="0.3">
      <c r="A11" s="28" t="s">
        <v>257</v>
      </c>
      <c r="B11">
        <f>IF(A11="","",_xlfn.XLOOKUP(A11,Tab_base[Nom + Prénom],Tab_base[Puce], ""))</f>
        <v>205574</v>
      </c>
      <c r="C11" t="str">
        <f>IF(A11="","",_xlfn.XLOOKUP(A11,Tab_base[Nom + Prénom],Tab_base[Court],""))</f>
        <v>H10</v>
      </c>
      <c r="AM11" t="s">
        <v>522</v>
      </c>
      <c r="AO11" s="38" t="s">
        <v>595</v>
      </c>
      <c r="AP11" s="8" t="s">
        <v>581</v>
      </c>
      <c r="AQ11" s="8" t="s">
        <v>582</v>
      </c>
      <c r="AR11" t="s">
        <v>155</v>
      </c>
      <c r="AT11" s="38" t="s">
        <v>586</v>
      </c>
      <c r="AU11" s="1" t="s">
        <v>558</v>
      </c>
      <c r="AV11" s="8" t="s">
        <v>557</v>
      </c>
    </row>
    <row r="12" spans="1:48" x14ac:dyDescent="0.3">
      <c r="A12" s="28" t="s">
        <v>262</v>
      </c>
      <c r="B12">
        <f>IF(A12="","",_xlfn.XLOOKUP(A12,Tab_base[Nom + Prénom],Tab_base[Puce], ""))</f>
        <v>8310889</v>
      </c>
      <c r="C12" t="str">
        <f>IF(A12="","",_xlfn.XLOOKUP(A12,Tab_base[Nom + Prénom],Tab_base[Court],""))</f>
        <v>D35</v>
      </c>
      <c r="AM12" t="s">
        <v>78</v>
      </c>
      <c r="AO12" s="38" t="s">
        <v>594</v>
      </c>
      <c r="AP12" s="8" t="s">
        <v>579</v>
      </c>
      <c r="AQ12" s="8" t="s">
        <v>580</v>
      </c>
    </row>
    <row r="13" spans="1:48" x14ac:dyDescent="0.3">
      <c r="A13" s="28" t="s">
        <v>265</v>
      </c>
      <c r="B13">
        <f>IF(A13="","",_xlfn.XLOOKUP(A13,Tab_base[Nom + Prénom],Tab_base[Puce], ""))</f>
        <v>8021989</v>
      </c>
      <c r="C13" t="str">
        <f>IF(A13="","",_xlfn.XLOOKUP(A13,Tab_base[Nom + Prénom],Tab_base[Court],""))</f>
        <v>H35</v>
      </c>
      <c r="AM13" t="s">
        <v>95</v>
      </c>
      <c r="AO13" s="38" t="s">
        <v>593</v>
      </c>
      <c r="AP13" s="8" t="s">
        <v>573</v>
      </c>
      <c r="AQ13" s="8" t="s">
        <v>574</v>
      </c>
      <c r="AR13" t="s">
        <v>521</v>
      </c>
      <c r="AT13" s="5" t="s">
        <v>583</v>
      </c>
    </row>
    <row r="14" spans="1:48" x14ac:dyDescent="0.3">
      <c r="A14" s="28" t="s">
        <v>272</v>
      </c>
      <c r="B14">
        <f>IF(A14="","",_xlfn.XLOOKUP(A14,Tab_base[Nom + Prénom],Tab_base[Puce], ""))</f>
        <v>8890305</v>
      </c>
      <c r="C14" t="str">
        <f>IF(A14="","",_xlfn.XLOOKUP(A14,Tab_base[Nom + Prénom],Tab_base[Court],""))</f>
        <v>H55</v>
      </c>
    </row>
    <row r="15" spans="1:48" x14ac:dyDescent="0.3">
      <c r="A15" s="28" t="s">
        <v>275</v>
      </c>
      <c r="B15">
        <f>IF(A15="","",_xlfn.XLOOKUP(A15,Tab_base[Nom + Prénom],Tab_base[Puce], ""))</f>
        <v>2027613</v>
      </c>
      <c r="C15" t="str">
        <f>IF(A15="","",_xlfn.XLOOKUP(A15,Tab_base[Nom + Prénom],Tab_base[Court],""))</f>
        <v>D35</v>
      </c>
    </row>
    <row r="16" spans="1:48" x14ac:dyDescent="0.3">
      <c r="A16" s="28" t="s">
        <v>277</v>
      </c>
      <c r="B16">
        <f>IF(A16="","",_xlfn.XLOOKUP(A16,Tab_base[Nom + Prénom],Tab_base[Puce], ""))</f>
        <v>1890311</v>
      </c>
      <c r="C16" t="str">
        <f>IF(A16="","",_xlfn.XLOOKUP(A16,Tab_base[Nom + Prénom],Tab_base[Court],""))</f>
        <v>H65</v>
      </c>
      <c r="D16" t="s">
        <v>97</v>
      </c>
      <c r="F16" s="5">
        <v>7.3449074074074069E-2</v>
      </c>
      <c r="G16" t="s">
        <v>100</v>
      </c>
      <c r="H16" s="7" t="s">
        <v>101</v>
      </c>
    </row>
    <row r="17" spans="1:48" x14ac:dyDescent="0.3">
      <c r="A17" s="28" t="s">
        <v>279</v>
      </c>
      <c r="B17">
        <f>IF(A17="","",_xlfn.XLOOKUP(A17,Tab_base[Nom + Prénom],Tab_base[Puce], ""))</f>
        <v>2027608</v>
      </c>
      <c r="C17" t="str">
        <f>IF(A17="","",_xlfn.XLOOKUP(A17,Tab_base[Nom + Prénom],Tab_base[Court],""))</f>
        <v>H35</v>
      </c>
    </row>
    <row r="18" spans="1:48" x14ac:dyDescent="0.3">
      <c r="A18" s="28" t="s">
        <v>282</v>
      </c>
      <c r="B18">
        <f>IF(A18="","",_xlfn.XLOOKUP(A18,Tab_base[Nom + Prénom],Tab_base[Puce], ""))</f>
        <v>8527790</v>
      </c>
      <c r="C18" t="str">
        <f>IF(A18="","",_xlfn.XLOOKUP(A18,Tab_base[Nom + Prénom],Tab_base[Court],""))</f>
        <v>H50</v>
      </c>
      <c r="I18" t="s">
        <v>95</v>
      </c>
      <c r="K18" s="38" t="s">
        <v>602</v>
      </c>
      <c r="L18" s="1" t="s">
        <v>102</v>
      </c>
      <c r="M18" s="8" t="s">
        <v>103</v>
      </c>
      <c r="N18" t="s">
        <v>70</v>
      </c>
      <c r="P18" s="8" t="s">
        <v>514</v>
      </c>
      <c r="Q18" s="8" t="s">
        <v>125</v>
      </c>
      <c r="R18" s="8" t="s">
        <v>513</v>
      </c>
      <c r="AM18" t="s">
        <v>78</v>
      </c>
      <c r="AO18" s="38" t="s">
        <v>592</v>
      </c>
      <c r="AP18" s="8" t="s">
        <v>577</v>
      </c>
      <c r="AQ18" s="8" t="s">
        <v>578</v>
      </c>
      <c r="AR18" t="s">
        <v>70</v>
      </c>
      <c r="AT18" s="38" t="s">
        <v>587</v>
      </c>
      <c r="AU18" s="37" t="s">
        <v>584</v>
      </c>
      <c r="AV18" s="8" t="s">
        <v>585</v>
      </c>
    </row>
    <row r="19" spans="1:48" x14ac:dyDescent="0.3">
      <c r="A19" s="28" t="s">
        <v>284</v>
      </c>
      <c r="B19">
        <f>IF(A19="","",_xlfn.XLOOKUP(A19,Tab_base[Nom + Prénom],Tab_base[Puce], ""))</f>
        <v>8542857</v>
      </c>
      <c r="C19" t="str">
        <f>IF(A19="","",_xlfn.XLOOKUP(A19,Tab_base[Nom + Prénom],Tab_base[Court],""))</f>
        <v>H14</v>
      </c>
      <c r="G19" s="4"/>
      <c r="I19" t="s">
        <v>104</v>
      </c>
      <c r="K19" s="38" t="s">
        <v>603</v>
      </c>
      <c r="L19" s="37" t="s">
        <v>105</v>
      </c>
      <c r="M19" s="8" t="s">
        <v>106</v>
      </c>
      <c r="N19" t="s">
        <v>73</v>
      </c>
      <c r="P19" s="8" t="s">
        <v>506</v>
      </c>
      <c r="Q19" s="8" t="s">
        <v>507</v>
      </c>
      <c r="R19" s="8" t="s">
        <v>508</v>
      </c>
      <c r="AM19" t="s">
        <v>104</v>
      </c>
      <c r="AO19" s="38" t="s">
        <v>591</v>
      </c>
      <c r="AP19" s="8" t="s">
        <v>565</v>
      </c>
      <c r="AQ19" s="8" t="s">
        <v>566</v>
      </c>
      <c r="AR19" t="s">
        <v>73</v>
      </c>
      <c r="AT19" s="38" t="s">
        <v>588</v>
      </c>
      <c r="AU19" s="1" t="s">
        <v>501</v>
      </c>
      <c r="AV19" s="8" t="s">
        <v>559</v>
      </c>
    </row>
    <row r="20" spans="1:48" x14ac:dyDescent="0.3">
      <c r="A20" s="28" t="s">
        <v>299</v>
      </c>
      <c r="B20">
        <f>IF(A20="","",_xlfn.XLOOKUP(A20,Tab_base[Nom + Prénom],Tab_base[Puce], ""))</f>
        <v>8008903</v>
      </c>
      <c r="C20" t="str">
        <f>IF(A20="","",_xlfn.XLOOKUP(A20,Tab_base[Nom + Prénom],Tab_base[Court],""))</f>
        <v>H65</v>
      </c>
      <c r="G20" s="6"/>
      <c r="L20" s="6"/>
      <c r="S20" t="s">
        <v>69</v>
      </c>
      <c r="U20" s="38" t="s">
        <v>606</v>
      </c>
      <c r="V20" s="8" t="s">
        <v>205</v>
      </c>
      <c r="W20" s="8" t="s">
        <v>206</v>
      </c>
    </row>
    <row r="21" spans="1:48" x14ac:dyDescent="0.3">
      <c r="A21" s="28" t="s">
        <v>308</v>
      </c>
      <c r="B21">
        <f>IF(A21="","",_xlfn.XLOOKUP(A21,Tab_base[Nom + Prénom],Tab_base[Puce], ""))</f>
        <v>8890303</v>
      </c>
      <c r="C21" t="str">
        <f>IF(A21="","",_xlfn.XLOOKUP(A21,Tab_base[Nom + Prénom],Tab_base[Court],""))</f>
        <v>H75</v>
      </c>
      <c r="D21" t="s">
        <v>97</v>
      </c>
      <c r="F21" s="38" t="s">
        <v>607</v>
      </c>
      <c r="G21" s="40" t="s">
        <v>109</v>
      </c>
      <c r="H21" s="8" t="s">
        <v>110</v>
      </c>
      <c r="L21" s="6"/>
    </row>
    <row r="22" spans="1:48" x14ac:dyDescent="0.3">
      <c r="A22" s="28" t="s">
        <v>311</v>
      </c>
      <c r="B22">
        <f>IF(A22="","",_xlfn.XLOOKUP(A22,Tab_base[Nom + Prénom],Tab_base[Puce], ""))</f>
        <v>8547726</v>
      </c>
      <c r="C22" t="str">
        <f>IF(A22="","",_xlfn.XLOOKUP(A22,Tab_base[Nom + Prénom],Tab_base[Court],""))</f>
        <v>H65</v>
      </c>
      <c r="D22" t="s">
        <v>78</v>
      </c>
      <c r="F22" s="38" t="s">
        <v>608</v>
      </c>
      <c r="G22" s="1" t="s">
        <v>111</v>
      </c>
      <c r="H22" s="8" t="s">
        <v>112</v>
      </c>
    </row>
    <row r="23" spans="1:48" x14ac:dyDescent="0.3">
      <c r="A23" s="28" t="s">
        <v>314</v>
      </c>
      <c r="B23">
        <f>IF(A23="","",_xlfn.XLOOKUP(A23,Tab_base[Nom + Prénom],Tab_base[Puce], ""))</f>
        <v>2158056</v>
      </c>
      <c r="C23" t="str">
        <f>IF(A23="","",_xlfn.XLOOKUP(A23,Tab_base[Nom + Prénom],Tab_base[Court],""))</f>
        <v>D40</v>
      </c>
    </row>
    <row r="24" spans="1:48" x14ac:dyDescent="0.3">
      <c r="A24" s="28" t="s">
        <v>317</v>
      </c>
      <c r="B24">
        <f>IF(A24="","",_xlfn.XLOOKUP(A24,Tab_base[Nom + Prénom],Tab_base[Puce], ""))</f>
        <v>8890301</v>
      </c>
      <c r="C24" t="str">
        <f>IF(A24="","",_xlfn.XLOOKUP(A24,Tab_base[Nom + Prénom],Tab_base[Court],""))</f>
        <v>D21</v>
      </c>
      <c r="D24" t="s">
        <v>95</v>
      </c>
      <c r="F24" s="38" t="s">
        <v>609</v>
      </c>
      <c r="G24" s="1" t="s">
        <v>111</v>
      </c>
      <c r="H24" s="8" t="s">
        <v>113</v>
      </c>
    </row>
    <row r="25" spans="1:48" x14ac:dyDescent="0.3">
      <c r="A25" s="28" t="s">
        <v>319</v>
      </c>
      <c r="B25">
        <f>IF(A25="","",_xlfn.XLOOKUP(A25,Tab_base[Nom + Prénom],Tab_base[Puce], ""))</f>
        <v>8280173</v>
      </c>
      <c r="C25" t="str">
        <f>IF(A25="","",_xlfn.XLOOKUP(A25,Tab_base[Nom + Prénom],Tab_base[Court],""))</f>
        <v>H50</v>
      </c>
      <c r="D25" t="s">
        <v>95</v>
      </c>
      <c r="F25" s="38" t="s">
        <v>610</v>
      </c>
      <c r="G25" s="1" t="s">
        <v>114</v>
      </c>
      <c r="H25" s="8" t="s">
        <v>115</v>
      </c>
      <c r="I25" t="s">
        <v>95</v>
      </c>
      <c r="K25" s="38" t="s">
        <v>604</v>
      </c>
      <c r="L25" s="1" t="s">
        <v>116</v>
      </c>
      <c r="M25" s="8" t="s">
        <v>117</v>
      </c>
      <c r="N25" t="s">
        <v>70</v>
      </c>
      <c r="P25" s="8" t="s">
        <v>511</v>
      </c>
      <c r="Q25" s="8" t="s">
        <v>507</v>
      </c>
      <c r="R25" s="8" t="s">
        <v>512</v>
      </c>
      <c r="AH25" t="s">
        <v>70</v>
      </c>
      <c r="AJ25" s="38" t="s">
        <v>599</v>
      </c>
      <c r="AK25" s="8" t="s">
        <v>553</v>
      </c>
      <c r="AL25" s="8" t="s">
        <v>554</v>
      </c>
      <c r="AM25" t="s">
        <v>78</v>
      </c>
      <c r="AO25" s="38" t="s">
        <v>590</v>
      </c>
      <c r="AP25" s="8" t="s">
        <v>575</v>
      </c>
      <c r="AQ25" s="8" t="s">
        <v>576</v>
      </c>
      <c r="AR25" t="s">
        <v>70</v>
      </c>
      <c r="AT25" s="5" t="s">
        <v>148</v>
      </c>
    </row>
    <row r="26" spans="1:48" x14ac:dyDescent="0.3">
      <c r="A26" s="28" t="s">
        <v>322</v>
      </c>
      <c r="B26">
        <f>IF(A26="","",_xlfn.XLOOKUP(A26,Tab_base[Nom + Prénom],Tab_base[Puce], ""))</f>
        <v>8212535</v>
      </c>
      <c r="C26" t="str">
        <f>IF(A26="","",_xlfn.XLOOKUP(A26,Tab_base[Nom + Prénom],Tab_base[Court],""))</f>
        <v>H20</v>
      </c>
      <c r="AH26" t="s">
        <v>93</v>
      </c>
      <c r="AJ26" s="38" t="s">
        <v>600</v>
      </c>
      <c r="AK26" s="8" t="s">
        <v>501</v>
      </c>
      <c r="AL26" s="8" t="s">
        <v>550</v>
      </c>
      <c r="AM26" t="s">
        <v>90</v>
      </c>
      <c r="AO26" s="5" t="s">
        <v>148</v>
      </c>
      <c r="AR26" t="s">
        <v>483</v>
      </c>
      <c r="AT26" s="5" t="s">
        <v>148</v>
      </c>
    </row>
    <row r="27" spans="1:48" x14ac:dyDescent="0.3">
      <c r="A27" s="28" t="s">
        <v>328</v>
      </c>
      <c r="B27">
        <f>IF(A27="","",_xlfn.XLOOKUP(A27,Tab_base[Nom + Prénom],Tab_base[Puce], ""))</f>
        <v>8005961</v>
      </c>
      <c r="C27" t="str">
        <f>IF(A27="","",_xlfn.XLOOKUP(A27,Tab_base[Nom + Prénom],Tab_base[Court],""))</f>
        <v>H65</v>
      </c>
      <c r="D27" t="s">
        <v>95</v>
      </c>
      <c r="F27" s="38" t="s">
        <v>611</v>
      </c>
      <c r="G27" s="1" t="s">
        <v>109</v>
      </c>
      <c r="H27" s="8" t="s">
        <v>118</v>
      </c>
      <c r="I27" t="s">
        <v>95</v>
      </c>
      <c r="K27" s="38" t="s">
        <v>605</v>
      </c>
      <c r="L27" s="1" t="s">
        <v>119</v>
      </c>
      <c r="M27" s="8" t="s">
        <v>120</v>
      </c>
      <c r="N27" t="s">
        <v>71</v>
      </c>
      <c r="P27" s="8" t="s">
        <v>509</v>
      </c>
      <c r="Q27" s="8" t="s">
        <v>125</v>
      </c>
      <c r="R27" s="8" t="s">
        <v>510</v>
      </c>
      <c r="X27" t="s">
        <v>69</v>
      </c>
      <c r="Z27" s="8" t="s">
        <v>503</v>
      </c>
      <c r="AA27" s="8" t="s">
        <v>502</v>
      </c>
      <c r="AB27" s="8" t="s">
        <v>516</v>
      </c>
      <c r="AC27" t="s">
        <v>95</v>
      </c>
      <c r="AE27" s="8" t="s">
        <v>520</v>
      </c>
      <c r="AF27" s="1" t="s">
        <v>518</v>
      </c>
      <c r="AG27" s="8" t="s">
        <v>519</v>
      </c>
      <c r="AH27" t="s">
        <v>71</v>
      </c>
      <c r="AI27" t="str">
        <f>IF(C27="","",_xlfn.XLOOKUP(C27,Tab_base[Comp],Tab_base[clFOR],""))</f>
        <v/>
      </c>
      <c r="AJ27" s="39" t="s">
        <v>601</v>
      </c>
      <c r="AK27" s="8" t="s">
        <v>555</v>
      </c>
      <c r="AL27" s="8" t="s">
        <v>556</v>
      </c>
      <c r="AM27" t="s">
        <v>97</v>
      </c>
      <c r="AN27" t="str">
        <f>IF(AM27="","",_xlfn.XLOOKUP(AM27,Tab_base[Handi],Tab_base[S], ""))</f>
        <v/>
      </c>
      <c r="AO27" s="38" t="s">
        <v>589</v>
      </c>
      <c r="AP27" s="8" t="s">
        <v>569</v>
      </c>
      <c r="AQ27" s="8" t="s">
        <v>570</v>
      </c>
      <c r="AR27" t="s">
        <v>71</v>
      </c>
      <c r="AS27"/>
      <c r="AT27" t="s">
        <v>148</v>
      </c>
      <c r="AU27" t="s">
        <v>564</v>
      </c>
      <c r="AV27" t="s">
        <v>564</v>
      </c>
    </row>
    <row r="28" spans="1:48" x14ac:dyDescent="0.3">
      <c r="A28" s="28" t="s">
        <v>331</v>
      </c>
      <c r="B28">
        <f>IF(A28="","",_xlfn.XLOOKUP(A28,Tab_base[Nom + Prénom],Tab_base[Puce], ""))</f>
        <v>8533480</v>
      </c>
      <c r="C28" t="str">
        <f>IF(A28="","",_xlfn.XLOOKUP(A28,Tab_base[Nom + Prénom],Tab_base[Court],""))</f>
        <v>H40</v>
      </c>
      <c r="AG28" s="8"/>
    </row>
    <row r="29" spans="1:48" x14ac:dyDescent="0.3">
      <c r="A29" s="28" t="s">
        <v>336</v>
      </c>
      <c r="B29">
        <f>IF(A29="","",_xlfn.XLOOKUP(A29,Tab_base[Nom + Prénom],Tab_base[Puce], ""))</f>
        <v>349306</v>
      </c>
      <c r="C29" t="str">
        <f>IF(A29="","",_xlfn.XLOOKUP(A29,Tab_base[Nom + Prénom],Tab_base[Court],""))</f>
        <v>H20</v>
      </c>
      <c r="AG29" s="8"/>
    </row>
    <row r="30" spans="1:48" x14ac:dyDescent="0.3">
      <c r="A30" s="28" t="s">
        <v>343</v>
      </c>
      <c r="B30">
        <f>IF(A30="","",_xlfn.XLOOKUP(A30,Tab_base[Nom + Prénom],Tab_base[Puce], ""))</f>
        <v>8546861</v>
      </c>
      <c r="C30" t="str">
        <f>IF(A30="","",_xlfn.XLOOKUP(A30,Tab_base[Nom + Prénom],Tab_base[Court],""))</f>
        <v>D50</v>
      </c>
      <c r="D30" t="s">
        <v>78</v>
      </c>
      <c r="F30" s="38" t="s">
        <v>612</v>
      </c>
      <c r="G30" s="1" t="s">
        <v>122</v>
      </c>
      <c r="H30" s="8" t="s">
        <v>123</v>
      </c>
    </row>
    <row r="31" spans="1:48" x14ac:dyDescent="0.3">
      <c r="A31" s="28" t="s">
        <v>346</v>
      </c>
      <c r="B31">
        <f>IF(A31="","",_xlfn.XLOOKUP(A31,Tab_base[Nom + Prénom],Tab_base[Puce], ""))</f>
        <v>8509002</v>
      </c>
      <c r="C31" t="str">
        <f>IF(A31="","",_xlfn.XLOOKUP(A31,Tab_base[Nom + Prénom],Tab_base[Court],""))</f>
        <v>H55</v>
      </c>
      <c r="AH31" t="str">
        <f>IF(C31="","",_xlfn.XLOOKUP(C31,Tab_base[Comp],Tab_base[Nom2], ""))</f>
        <v/>
      </c>
      <c r="AI31" t="str">
        <f>IF(C31="","",_xlfn.XLOOKUP(C31,Tab_base[Comp],Tab_base[clFOR],""))</f>
        <v/>
      </c>
      <c r="AJ31" t="str">
        <f>IF(AI31="","",_xlfn.XLOOKUP(AI31,Tab_base[Décou],Tab_base[Prénom], ""))</f>
        <v/>
      </c>
      <c r="AK31" s="7" t="str">
        <f>IF(AI31="","",_xlfn.XLOOKUP(AI31,Tab_base[Décou],Tab_base[ptFOR],""))</f>
        <v/>
      </c>
      <c r="AL31" s="7" t="str">
        <f>IF(AK31="","",_xlfn.XLOOKUP(AK31,Tab_base[Lois],Tab_base[Né], ""))</f>
        <v/>
      </c>
      <c r="AM31" t="str">
        <f>IF(AK31="","",_xlfn.XLOOKUP(AK31,Tab_base[Lois],Tab_base[clSPR],""))</f>
        <v/>
      </c>
      <c r="AN31" t="str">
        <f>IF(AM31="","",_xlfn.XLOOKUP(AM31,Tab_base[Handi],Tab_base[S], ""))</f>
        <v/>
      </c>
      <c r="AO31"/>
      <c r="AR31" t="str">
        <f>IF(AQ31="","",_xlfn.XLOOKUP(AQ31,Tab_base[Colonne3],Tab_base[Court], ""))</f>
        <v/>
      </c>
      <c r="AS31" t="str">
        <f>IF(AQ31="","",_xlfn.XLOOKUP(AQ31,Tab_base[Colonne3],Tab_base[ptVTT],""))</f>
        <v/>
      </c>
      <c r="AT31" t="str">
        <f>IF(AS31="","",_xlfn.XLOOKUP(AS31,Tab_base[N°],Tab_base[clFOR], ""))</f>
        <v/>
      </c>
      <c r="AU31" t="str">
        <f>IF(AS31="","",_xlfn.XLOOKUP(AS31,Tab_base[N°],Tab_base[Age],""))</f>
        <v/>
      </c>
      <c r="AV31" t="str">
        <f>IF(AU31="","",_xlfn.XLOOKUP(AU31,Tab_base[Nbre],Tab_base[ptFOR], ""))</f>
        <v/>
      </c>
    </row>
    <row r="32" spans="1:48" x14ac:dyDescent="0.3">
      <c r="A32" s="28" t="s">
        <v>351</v>
      </c>
      <c r="B32">
        <f>IF(A32="","",_xlfn.XLOOKUP(A32,Tab_base[Nom + Prénom],Tab_base[Puce], ""))</f>
        <v>2158060</v>
      </c>
      <c r="C32" t="str">
        <f>IF(A32="","",_xlfn.XLOOKUP(A32,Tab_base[Nom + Prénom],Tab_base[Court],""))</f>
        <v>D50</v>
      </c>
    </row>
    <row r="33" spans="1:99" x14ac:dyDescent="0.3">
      <c r="A33" s="28" t="s">
        <v>149</v>
      </c>
      <c r="B33" t="str">
        <f>IF(A33="","",_xlfn.XLOOKUP(A33,Tab_base[Nom + Prénom],Tab_base[Puce], ""))</f>
        <v/>
      </c>
      <c r="C33" t="str">
        <f>IF(A33="","",_xlfn.XLOOKUP(A33,Tab_base[Nom + Prénom],Tab_base[Court],""))</f>
        <v/>
      </c>
    </row>
    <row r="34" spans="1:99" x14ac:dyDescent="0.3">
      <c r="A34" s="29" t="s">
        <v>179</v>
      </c>
      <c r="B34">
        <f>IF(A34="","",_xlfn.XLOOKUP(A34,Tab_base[Nom + Prénom],Tab_base[Puce], ""))</f>
        <v>8890302</v>
      </c>
      <c r="C34" t="str">
        <f>IF(A34="","",_xlfn.XLOOKUP(A34,Tab_base[Nom + Prénom],Tab_base[Court],""))</f>
        <v>D40</v>
      </c>
      <c r="Y34"/>
    </row>
    <row r="35" spans="1:99" x14ac:dyDescent="0.3">
      <c r="A35" s="28" t="s">
        <v>689</v>
      </c>
      <c r="B35" t="str">
        <f>IF(A35="","",_xlfn.XLOOKUP(A35,Tab_base[Nom + Prénom],Tab_base[Puce], ""))</f>
        <v>.</v>
      </c>
      <c r="C35" t="str">
        <f>IF(A35="","",_xlfn.XLOOKUP(A35,Tab_base[Nom + Prénom],Tab_base[Court],""))</f>
        <v>.</v>
      </c>
      <c r="D35">
        <f>IF(COUNTIF(D$3:D34, "&lt;&gt;")=0, "", COUNTIF(D$3:D34, "&lt;&gt;"))</f>
        <v>10</v>
      </c>
      <c r="I35">
        <f>IF(COUNTIF(I$3:I34, "&lt;&gt;")=0, "", COUNTIF(I$3:I34, "&lt;&gt;"))</f>
        <v>4</v>
      </c>
      <c r="N35">
        <f>IF(COUNTIF(N$3:N34, "&lt;&gt;")=0, "", COUNTIF(N$3:N34, "&lt;&gt;"))</f>
        <v>4</v>
      </c>
      <c r="S35">
        <f>IF(COUNTIF(S$3:S34, "&lt;&gt;")=0, "", COUNTIF(S$3:S34, "&lt;&gt;"))</f>
        <v>1</v>
      </c>
      <c r="X35">
        <f>IF(COUNTIF(X$3:X34, "&lt;&gt;")=0, "", COUNTIF(X$3:X34, "&lt;&gt;"))</f>
        <v>2</v>
      </c>
      <c r="AC35">
        <f>IF(COUNTIF(AC$3:AC34, "&lt;&gt;")=0, "", COUNTIF(AC$3:AC34, "&lt;&gt;"))</f>
        <v>2</v>
      </c>
      <c r="AH35">
        <f>IF(COUNTIF(AH$3:AH34, "&lt;&gt;")=0, "", COUNTIF(AH$3:AH34, "&lt;&gt;"))</f>
        <v>5</v>
      </c>
      <c r="AM35">
        <f>IF(COUNTIF(AM$3:AM34, "&lt;&gt;")=0, "", COUNTIF(AM$3:AM34, "&lt;&gt;"))</f>
        <v>11</v>
      </c>
      <c r="AR35">
        <f>IF(COUNTIF(AR$3:AR34, "&lt;&gt;")=0, "", COUNTIF(AR$3:AR34, "&lt;&gt;"))</f>
        <v>10</v>
      </c>
      <c r="AW35" t="str">
        <f>IF(COUNTIF(AW$3:AW34, "&lt;&gt;")=0, "", COUNTIF(AW$3:AW34, "&lt;&gt;"))</f>
        <v/>
      </c>
      <c r="BB35" t="str">
        <f>IF(COUNTIF(BB$3:BB34, "&lt;&gt;")=0, "", COUNTIF(BB$3:BB34, "&lt;&gt;"))</f>
        <v/>
      </c>
      <c r="BG35" t="str">
        <f>IF(COUNTIF(BG$3:BG34, "&lt;&gt;")=0, "", COUNTIF(BG$3:BG34, "&lt;&gt;"))</f>
        <v/>
      </c>
      <c r="BL35" t="str">
        <f>IF(COUNTIF(BL$3:BL34, "&lt;&gt;")=0, "", COUNTIF(BL$3:BL34, "&lt;&gt;"))</f>
        <v/>
      </c>
      <c r="BQ35" t="str">
        <f>IF(COUNTIF(BQ$3:BQ34, "&lt;&gt;")=0, "", COUNTIF(BQ$3:BQ34, "&lt;&gt;"))</f>
        <v/>
      </c>
      <c r="BV35" t="str">
        <f>IF(COUNTIF(BV$3:BV34, "&lt;&gt;")=0, "", COUNTIF(BV$3:BV34, "&lt;&gt;"))</f>
        <v/>
      </c>
      <c r="CA35" t="str">
        <f>IF(COUNTIF(CA$3:CA34, "&lt;&gt;")=0, "", COUNTIF(CA$3:CA34, "&lt;&gt;"))</f>
        <v/>
      </c>
      <c r="CF35" t="str">
        <f>IF(COUNTIF(CF$3:CF34, "&lt;&gt;")=0, "", COUNTIF(CF$3:CF34, "&lt;&gt;"))</f>
        <v/>
      </c>
      <c r="CK35" t="str">
        <f>IF(COUNTIF(CK$3:CK34, "&lt;&gt;")=0, "", COUNTIF(CK$3:CK34, "&lt;&gt;"))</f>
        <v/>
      </c>
      <c r="CP35" t="str">
        <f>IF(COUNTIF(CP$3:CP34, "&lt;&gt;")=0, "", COUNTIF(CP$3:CP34, "&lt;&gt;"))</f>
        <v/>
      </c>
      <c r="CU35" t="str">
        <f>IF(COUNTIF(CU$3:CU34, "&lt;&gt;")=0, "", COUNTIF(CU$3:CU34, "&lt;&gt;"))</f>
        <v/>
      </c>
    </row>
    <row r="36" spans="1:99" x14ac:dyDescent="0.3">
      <c r="B36" t="str">
        <f>IF(A36="","",_xlfn.XLOOKUP(A36,Tab_base[Nom + Prénom],Tab_base[Puce], ""))</f>
        <v/>
      </c>
      <c r="C36" t="str">
        <f>IF(A36="","",_xlfn.XLOOKUP(A36,Tab_base[Nom + Prénom],Tab_base[Court],""))</f>
        <v/>
      </c>
    </row>
    <row r="37" spans="1:99" ht="13.2" customHeight="1" x14ac:dyDescent="0.3">
      <c r="B37" t="str">
        <f>IF(A37="","",_xlfn.XLOOKUP(A37,Tab_base[Nom + Prénom],Tab_base[Puce], ""))</f>
        <v/>
      </c>
      <c r="C37" t="str">
        <f>IF(A37="","",_xlfn.XLOOKUP(A37,Tab_base[Nom + Prénom],Tab_base[Court],""))</f>
        <v/>
      </c>
    </row>
    <row r="38" spans="1:99" x14ac:dyDescent="0.3">
      <c r="B38" t="str">
        <f>IF(A38="","",_xlfn.XLOOKUP(A38,Tab_base[Nom + Prénom],Tab_base[Puce], ""))</f>
        <v/>
      </c>
      <c r="C38" t="str">
        <f>IF(A38="","",_xlfn.XLOOKUP(A38,Tab_base[Nom + Prénom],Tab_base[Court],""))</f>
        <v/>
      </c>
    </row>
    <row r="39" spans="1:99" x14ac:dyDescent="0.3">
      <c r="B39" t="str">
        <f>IF(A39="","",_xlfn.XLOOKUP(A39,Tab_base[Nom + Prénom],Tab_base[Puce], ""))</f>
        <v/>
      </c>
      <c r="C39" t="str">
        <f>IF(A39="","",_xlfn.XLOOKUP(A39,Tab_base[Nom + Prénom],Tab_base[Court],""))</f>
        <v/>
      </c>
    </row>
    <row r="40" spans="1:99" x14ac:dyDescent="0.3">
      <c r="B40" t="str">
        <f>IF(A40="","",_xlfn.XLOOKUP(A40,Tab_base[Nom + Prénom],Tab_base[Puce], ""))</f>
        <v/>
      </c>
      <c r="C40" t="str">
        <f>IF(A40="","",_xlfn.XLOOKUP(A40,Tab_base[Nom + Prénom],Tab_base[Court],""))</f>
        <v/>
      </c>
    </row>
    <row r="41" spans="1:99" x14ac:dyDescent="0.3">
      <c r="B41" t="str">
        <f>IF(A41="","",_xlfn.XLOOKUP(A41,Tab_base[Nom + Prénom],Tab_base[Puce], ""))</f>
        <v/>
      </c>
      <c r="C41" t="str">
        <f>IF(A41="","",_xlfn.XLOOKUP(A41,Tab_base[Nom + Prénom],Tab_base[Court],""))</f>
        <v/>
      </c>
    </row>
    <row r="42" spans="1:99" x14ac:dyDescent="0.3">
      <c r="B42" t="str">
        <f>IF(A42="","",_xlfn.XLOOKUP(A42,Tab_base[Nom + Prénom],Tab_base[Puce], ""))</f>
        <v/>
      </c>
      <c r="C42" t="str">
        <f>IF(A42="","",_xlfn.XLOOKUP(A42,Tab_base[Nom + Prénom],Tab_base[Court],""))</f>
        <v/>
      </c>
    </row>
    <row r="43" spans="1:99" x14ac:dyDescent="0.3">
      <c r="B43" t="str">
        <f>IF(A43="","",_xlfn.XLOOKUP(A43,Tab_base[Nom + Prénom],Tab_base[Puce], ""))</f>
        <v/>
      </c>
      <c r="C43" t="str">
        <f>IF(A43="","",_xlfn.XLOOKUP(A43,Tab_base[Nom + Prénom],Tab_base[Court],""))</f>
        <v/>
      </c>
    </row>
    <row r="44" spans="1:99" x14ac:dyDescent="0.3">
      <c r="B44" t="str">
        <f>IF(A44="","",_xlfn.XLOOKUP(A44,Tab_base[Nom + Prénom],Tab_base[Puce], ""))</f>
        <v/>
      </c>
      <c r="C44" t="str">
        <f>IF(A44="","",_xlfn.XLOOKUP(A44,Tab_base[Nom + Prénom],Tab_base[Court],""))</f>
        <v/>
      </c>
    </row>
    <row r="45" spans="1:99" x14ac:dyDescent="0.3">
      <c r="B45" t="str">
        <f>IF(A45="","",_xlfn.XLOOKUP(A45,Tab_base[Nom + Prénom],Tab_base[Puce], ""))</f>
        <v/>
      </c>
      <c r="C45" t="str">
        <f>IF(A45="","",_xlfn.XLOOKUP(A45,Tab_base[Nom + Prénom],Tab_base[Court],""))</f>
        <v/>
      </c>
    </row>
    <row r="46" spans="1:99" x14ac:dyDescent="0.3">
      <c r="B46" t="str">
        <f>IF(A46="","",_xlfn.XLOOKUP(A46,Tab_base[Nom + Prénom],Tab_base[Puce], ""))</f>
        <v/>
      </c>
      <c r="C46" t="str">
        <f>IF(A46="","",_xlfn.XLOOKUP(A46,Tab_base[Nom + Prénom],Tab_base[Court],""))</f>
        <v/>
      </c>
    </row>
    <row r="47" spans="1:99" x14ac:dyDescent="0.3">
      <c r="B47" t="str">
        <f>IF(A47="","",_xlfn.XLOOKUP(A47,Tab_base[Nom + Prénom],Tab_base[Puce], ""))</f>
        <v/>
      </c>
      <c r="C47" t="str">
        <f>IF(A47="","",_xlfn.XLOOKUP(A47,Tab_base[Nom + Prénom],Tab_base[Court],""))</f>
        <v/>
      </c>
    </row>
    <row r="48" spans="1:99" x14ac:dyDescent="0.3">
      <c r="B48" t="str">
        <f>IF(A48="","",_xlfn.XLOOKUP(A48,Tab_base[Nom + Prénom],Tab_base[Puce], ""))</f>
        <v/>
      </c>
      <c r="C48" t="str">
        <f>IF(A48="","",_xlfn.XLOOKUP(A48,Tab_base[Nom + Prénom],Tab_base[Court],""))</f>
        <v/>
      </c>
    </row>
    <row r="49" spans="2:3" x14ac:dyDescent="0.3">
      <c r="B49" t="str">
        <f>IF(A49="","",_xlfn.XLOOKUP(A49,Tab_base[Nom + Prénom],Tab_base[Puce], ""))</f>
        <v/>
      </c>
      <c r="C49" t="str">
        <f>IF(A49="","",_xlfn.XLOOKUP(A49,Tab_base[Nom + Prénom],Tab_base[Court],""))</f>
        <v/>
      </c>
    </row>
    <row r="50" spans="2:3" x14ac:dyDescent="0.3">
      <c r="B50" t="str">
        <f>IF(A50="","",_xlfn.XLOOKUP(A50,Tab_base[Nom + Prénom],Tab_base[Puce], ""))</f>
        <v/>
      </c>
      <c r="C50" t="str">
        <f>IF(A50="","",_xlfn.XLOOKUP(A50,Tab_base[Nom + Prénom],Tab_base[Court],""))</f>
        <v/>
      </c>
    </row>
    <row r="51" spans="2:3" x14ac:dyDescent="0.3">
      <c r="B51" t="str">
        <f>IF(A51="","",_xlfn.XLOOKUP(A51,Tab_base[Nom + Prénom],Tab_base[Puce], ""))</f>
        <v/>
      </c>
      <c r="C51" t="str">
        <f>IF(A51="","",_xlfn.XLOOKUP(A51,Tab_base[Nom + Prénom],Tab_base[Court],""))</f>
        <v/>
      </c>
    </row>
    <row r="52" spans="2:3" x14ac:dyDescent="0.3">
      <c r="B52" t="str">
        <f>IF(A52="","",_xlfn.XLOOKUP(A52,Tab_base[Nom + Prénom],Tab_base[Puce], ""))</f>
        <v/>
      </c>
      <c r="C52" t="str">
        <f>IF(A52="","",_xlfn.XLOOKUP(A52,Tab_base[Nom + Prénom],Tab_base[Court],""))</f>
        <v/>
      </c>
    </row>
    <row r="53" spans="2:3" x14ac:dyDescent="0.3">
      <c r="B53" t="str">
        <f>IF(A53="","",_xlfn.XLOOKUP(A53,Tab_base[Nom + Prénom],Tab_base[Puce], ""))</f>
        <v/>
      </c>
      <c r="C53" t="str">
        <f>IF(A53="","",_xlfn.XLOOKUP(A53,Tab_base[Nom + Prénom],Tab_base[Court],""))</f>
        <v/>
      </c>
    </row>
    <row r="54" spans="2:3" x14ac:dyDescent="0.3">
      <c r="B54" t="str">
        <f>IF(A54="","",_xlfn.XLOOKUP(A54,Tab_base[Nom + Prénom],Tab_base[Puce], ""))</f>
        <v/>
      </c>
      <c r="C54" t="str">
        <f>IF(A54="","",_xlfn.XLOOKUP(A54,Tab_base[Nom + Prénom],Tab_base[Court],""))</f>
        <v/>
      </c>
    </row>
    <row r="55" spans="2:3" x14ac:dyDescent="0.3">
      <c r="B55" t="str">
        <f>IF(A55="","",_xlfn.XLOOKUP(A55,Tab_base[Nom + Prénom],Tab_base[Puce], ""))</f>
        <v/>
      </c>
      <c r="C55" t="str">
        <f>IF(A55="","",_xlfn.XLOOKUP(A55,Tab_base[Nom + Prénom],Tab_base[Court],""))</f>
        <v/>
      </c>
    </row>
    <row r="56" spans="2:3" x14ac:dyDescent="0.3">
      <c r="B56" t="str">
        <f>IF(A56="","",_xlfn.XLOOKUP(A56,Tab_base[Nom + Prénom],Tab_base[Puce], ""))</f>
        <v/>
      </c>
      <c r="C56" t="str">
        <f>IF(A56="","",_xlfn.XLOOKUP(A56,Tab_base[Nom + Prénom],Tab_base[Court],""))</f>
        <v/>
      </c>
    </row>
    <row r="57" spans="2:3" x14ac:dyDescent="0.3">
      <c r="B57" t="str">
        <f>IF(A57="","",_xlfn.XLOOKUP(A57,Tab_base[Nom + Prénom],Tab_base[Puce], ""))</f>
        <v/>
      </c>
      <c r="C57" t="str">
        <f>IF(A57="","",_xlfn.XLOOKUP(A57,Tab_base[Nom + Prénom],Tab_base[Court],""))</f>
        <v/>
      </c>
    </row>
    <row r="58" spans="2:3" x14ac:dyDescent="0.3">
      <c r="B58" t="str">
        <f>IF(A58="","",_xlfn.XLOOKUP(A58,Tab_base[Nom + Prénom],Tab_base[Puce], ""))</f>
        <v/>
      </c>
      <c r="C58" t="str">
        <f>IF(A58="","",_xlfn.XLOOKUP(A58,Tab_base[Nom + Prénom],Tab_base[Court],""))</f>
        <v/>
      </c>
    </row>
    <row r="59" spans="2:3" x14ac:dyDescent="0.3">
      <c r="B59" t="str">
        <f>IF(A59="","",_xlfn.XLOOKUP(A59,Tab_base[Nom + Prénom],Tab_base[Puce], ""))</f>
        <v/>
      </c>
      <c r="C59" t="str">
        <f>IF(A59="","",_xlfn.XLOOKUP(A59,Tab_base[Nom + Prénom],Tab_base[Court],""))</f>
        <v/>
      </c>
    </row>
    <row r="60" spans="2:3" x14ac:dyDescent="0.3">
      <c r="B60" t="str">
        <f>IF(A60="","",_xlfn.XLOOKUP(A60,Tab_base[Nom + Prénom],Tab_base[Puce], ""))</f>
        <v/>
      </c>
      <c r="C60" t="str">
        <f>IF(A60="","",_xlfn.XLOOKUP(A60,Tab_base[Nom + Prénom],Tab_base[Court],""))</f>
        <v/>
      </c>
    </row>
    <row r="61" spans="2:3" x14ac:dyDescent="0.3">
      <c r="B61" t="str">
        <f>IF(A61="","",_xlfn.XLOOKUP(A61,Tab_base[Nom + Prénom],Tab_base[Puce], ""))</f>
        <v/>
      </c>
      <c r="C61" t="str">
        <f>IF(A61="","",_xlfn.XLOOKUP(A61,Tab_base[Nom + Prénom],Tab_base[Court],""))</f>
        <v/>
      </c>
    </row>
    <row r="62" spans="2:3" x14ac:dyDescent="0.3">
      <c r="B62" t="str">
        <f>IF(A62="","",_xlfn.XLOOKUP(A62,Tab_base[Nom + Prénom],Tab_base[Puce], ""))</f>
        <v/>
      </c>
      <c r="C62" t="str">
        <f>IF(A62="","",_xlfn.XLOOKUP(A62,Tab_base[Nom + Prénom],Tab_base[Court],""))</f>
        <v/>
      </c>
    </row>
    <row r="63" spans="2:3" x14ac:dyDescent="0.3">
      <c r="B63" t="str">
        <f>IF(A63="","",_xlfn.XLOOKUP(A63,Tab_base[Nom + Prénom],Tab_base[Puce], ""))</f>
        <v/>
      </c>
      <c r="C63" t="str">
        <f>IF(A63="","",_xlfn.XLOOKUP(A63,Tab_base[Nom + Prénom],Tab_base[Court],""))</f>
        <v/>
      </c>
    </row>
    <row r="64" spans="2:3" x14ac:dyDescent="0.3">
      <c r="B64" t="str">
        <f>IF(A64="","",_xlfn.XLOOKUP(A64,Tab_base[Nom + Prénom],Tab_base[Puce], ""))</f>
        <v/>
      </c>
      <c r="C64" t="str">
        <f>IF(A64="","",_xlfn.XLOOKUP(A64,Tab_base[Nom + Prénom],Tab_base[Court],""))</f>
        <v/>
      </c>
    </row>
    <row r="65" spans="2:3" x14ac:dyDescent="0.3">
      <c r="B65" t="str">
        <f>IF(A65="","",_xlfn.XLOOKUP(A65,Tab_base[Nom + Prénom],Tab_base[Puce], ""))</f>
        <v/>
      </c>
      <c r="C65" t="str">
        <f>IF(A65="","",_xlfn.XLOOKUP(A65,Tab_base[Nom + Prénom],Tab_base[Court],""))</f>
        <v/>
      </c>
    </row>
    <row r="66" spans="2:3" x14ac:dyDescent="0.3">
      <c r="B66" t="str">
        <f>IF(A66="","",_xlfn.XLOOKUP(A66,Tab_base[Nom + Prénom],Tab_base[Puce], ""))</f>
        <v/>
      </c>
      <c r="C66" t="str">
        <f>IF(A66="","",_xlfn.XLOOKUP(A66,Tab_base[Nom + Prénom],Tab_base[Court],""))</f>
        <v/>
      </c>
    </row>
    <row r="67" spans="2:3" x14ac:dyDescent="0.3">
      <c r="B67" t="str">
        <f>IF(A67="","",_xlfn.XLOOKUP(A67,Tab_base[Nom + Prénom],Tab_base[Puce], ""))</f>
        <v/>
      </c>
      <c r="C67" t="str">
        <f>IF(A67="","",_xlfn.XLOOKUP(A67,Tab_base[Nom + Prénom],Tab_base[Court],""))</f>
        <v/>
      </c>
    </row>
    <row r="68" spans="2:3" x14ac:dyDescent="0.3">
      <c r="B68" t="str">
        <f>IF(A68="","",_xlfn.XLOOKUP(A68,Tab_base[Nom + Prénom],Tab_base[Puce], ""))</f>
        <v/>
      </c>
      <c r="C68" t="str">
        <f>IF(A68="","",_xlfn.XLOOKUP(A68,Tab_base[Nom + Prénom],Tab_base[Court],""))</f>
        <v/>
      </c>
    </row>
    <row r="69" spans="2:3" x14ac:dyDescent="0.3">
      <c r="B69" t="str">
        <f>IF(A69="","",_xlfn.XLOOKUP(A69,Tab_base[Nom + Prénom],Tab_base[Puce], ""))</f>
        <v/>
      </c>
      <c r="C69" t="str">
        <f>IF(A69="","",_xlfn.XLOOKUP(A69,Tab_base[Nom + Prénom],Tab_base[Court],""))</f>
        <v/>
      </c>
    </row>
    <row r="70" spans="2:3" x14ac:dyDescent="0.3">
      <c r="B70" t="str">
        <f>IF(A70="","",_xlfn.XLOOKUP(A70,Tab_base[Nom + Prénom],Tab_base[Puce], ""))</f>
        <v/>
      </c>
      <c r="C70" t="str">
        <f>IF(A70="","",_xlfn.XLOOKUP(A70,Tab_base[Nom + Prénom],Tab_base[Court],""))</f>
        <v/>
      </c>
    </row>
    <row r="71" spans="2:3" x14ac:dyDescent="0.3">
      <c r="B71" t="str">
        <f>IF(A71="","",_xlfn.XLOOKUP(A71,Tab_base[Nom + Prénom],Tab_base[Puce], ""))</f>
        <v/>
      </c>
      <c r="C71" t="str">
        <f>IF(A71="","",_xlfn.XLOOKUP(A71,Tab_base[Nom + Prénom],Tab_base[Court],""))</f>
        <v/>
      </c>
    </row>
    <row r="72" spans="2:3" x14ac:dyDescent="0.3">
      <c r="B72" t="str">
        <f>IF(A72="","",_xlfn.XLOOKUP(A72,Tab_base[Nom + Prénom],Tab_base[Puce], ""))</f>
        <v/>
      </c>
      <c r="C72" t="str">
        <f>IF(A72="","",_xlfn.XLOOKUP(A72,Tab_base[Nom + Prénom],Tab_base[Court],""))</f>
        <v/>
      </c>
    </row>
    <row r="73" spans="2:3" x14ac:dyDescent="0.3">
      <c r="B73" t="str">
        <f>IF(A73="","",_xlfn.XLOOKUP(A73,Tab_base[Nom + Prénom],Tab_base[Puce], ""))</f>
        <v/>
      </c>
      <c r="C73" t="str">
        <f>IF(A73="","",_xlfn.XLOOKUP(A73,Tab_base[Nom + Prénom],Tab_base[Court],""))</f>
        <v/>
      </c>
    </row>
    <row r="74" spans="2:3" x14ac:dyDescent="0.3">
      <c r="B74" t="str">
        <f>IF(A74="","",_xlfn.XLOOKUP(A74,Tab_base[Nom + Prénom],Tab_base[Puce], ""))</f>
        <v/>
      </c>
      <c r="C74" t="str">
        <f>IF(A74="","",_xlfn.XLOOKUP(A74,Tab_base[Nom + Prénom],Tab_base[Court],""))</f>
        <v/>
      </c>
    </row>
    <row r="75" spans="2:3" x14ac:dyDescent="0.3">
      <c r="B75" t="str">
        <f>IF(A75="","",_xlfn.XLOOKUP(A75,Tab_base[Nom + Prénom],Tab_base[Puce], ""))</f>
        <v/>
      </c>
      <c r="C75" t="str">
        <f>IF(A75="","",_xlfn.XLOOKUP(A75,Tab_base[Nom + Prénom],Tab_base[Court],""))</f>
        <v/>
      </c>
    </row>
    <row r="76" spans="2:3" x14ac:dyDescent="0.3">
      <c r="B76" t="str">
        <f>IF(A76="","",_xlfn.XLOOKUP(A76,Tab_base[Nom + Prénom],Tab_base[Puce], ""))</f>
        <v/>
      </c>
      <c r="C76" t="str">
        <f>IF(A76="","",_xlfn.XLOOKUP(A76,Tab_base[Nom + Prénom],Tab_base[Court],""))</f>
        <v/>
      </c>
    </row>
    <row r="77" spans="2:3" x14ac:dyDescent="0.3">
      <c r="B77" t="str">
        <f>IF(A77="","",_xlfn.XLOOKUP(A77,Tab_base[Nom + Prénom],Tab_base[Puce], ""))</f>
        <v/>
      </c>
      <c r="C77" t="str">
        <f>IF(A77="","",_xlfn.XLOOKUP(A77,Tab_base[Nom + Prénom],Tab_base[Court],""))</f>
        <v/>
      </c>
    </row>
    <row r="78" spans="2:3" x14ac:dyDescent="0.3">
      <c r="B78" t="str">
        <f>IF(A78="","",_xlfn.XLOOKUP(A78,Tab_base[Nom + Prénom],Tab_base[Puce], ""))</f>
        <v/>
      </c>
      <c r="C78" t="str">
        <f>IF(A78="","",_xlfn.XLOOKUP(A78,Tab_base[Nom + Prénom],Tab_base[Court],""))</f>
        <v/>
      </c>
    </row>
    <row r="79" spans="2:3" x14ac:dyDescent="0.3">
      <c r="B79" t="str">
        <f>IF(A79="","",_xlfn.XLOOKUP(A79,Tab_base[Nom + Prénom],Tab_base[Puce], ""))</f>
        <v/>
      </c>
      <c r="C79" t="str">
        <f>IF(A79="","",_xlfn.XLOOKUP(A79,Tab_base[Nom + Prénom],Tab_base[Court],""))</f>
        <v/>
      </c>
    </row>
    <row r="80" spans="2:3" x14ac:dyDescent="0.3">
      <c r="B80" t="str">
        <f>IF(A80="","",_xlfn.XLOOKUP(A80,Tab_base[Nom + Prénom],Tab_base[Puce], ""))</f>
        <v/>
      </c>
      <c r="C80" t="str">
        <f>IF(A80="","",_xlfn.XLOOKUP(A80,Tab_base[Nom + Prénom],Tab_base[Court],""))</f>
        <v/>
      </c>
    </row>
    <row r="81" spans="2:3" x14ac:dyDescent="0.3">
      <c r="B81" t="str">
        <f>IF(A81="","",_xlfn.XLOOKUP(A81,Tab_base[Nom + Prénom],Tab_base[Puce], ""))</f>
        <v/>
      </c>
      <c r="C81" t="str">
        <f>IF(A81="","",_xlfn.XLOOKUP(A81,Tab_base[Nom + Prénom],Tab_base[Court],""))</f>
        <v/>
      </c>
    </row>
    <row r="82" spans="2:3" x14ac:dyDescent="0.3">
      <c r="B82" t="str">
        <f>IF(A82="","",_xlfn.XLOOKUP(A82,Tab_base[Nom + Prénom],Tab_base[Puce], ""))</f>
        <v/>
      </c>
      <c r="C82" t="str">
        <f>IF(A82="","",_xlfn.XLOOKUP(A82,Tab_base[Nom + Prénom],Tab_base[Court],""))</f>
        <v/>
      </c>
    </row>
    <row r="83" spans="2:3" x14ac:dyDescent="0.3">
      <c r="B83" t="str">
        <f>IF(A83="","",_xlfn.XLOOKUP(A83,Tab_base[Nom + Prénom],Tab_base[Puce], ""))</f>
        <v/>
      </c>
      <c r="C83" t="str">
        <f>IF(A83="","",_xlfn.XLOOKUP(A83,Tab_base[Nom + Prénom],Tab_base[Court],""))</f>
        <v/>
      </c>
    </row>
    <row r="84" spans="2:3" x14ac:dyDescent="0.3">
      <c r="B84" t="str">
        <f>IF(A84="","",_xlfn.XLOOKUP(A84,Tab_base[Nom + Prénom],Tab_base[Puce], ""))</f>
        <v/>
      </c>
      <c r="C84" t="str">
        <f>IF(A84="","",_xlfn.XLOOKUP(A84,Tab_base[Nom + Prénom],Tab_base[Court],""))</f>
        <v/>
      </c>
    </row>
    <row r="85" spans="2:3" x14ac:dyDescent="0.3">
      <c r="B85" t="str">
        <f>IF(A85="","",_xlfn.XLOOKUP(A85,Tab_base[Nom + Prénom],Tab_base[Puce], ""))</f>
        <v/>
      </c>
      <c r="C85" t="str">
        <f>IF(A85="","",_xlfn.XLOOKUP(A85,Tab_base[Nom + Prénom],Tab_base[Court],""))</f>
        <v/>
      </c>
    </row>
    <row r="86" spans="2:3" x14ac:dyDescent="0.3">
      <c r="B86" t="str">
        <f>IF(A86="","",_xlfn.XLOOKUP(A86,Tab_base[Nom + Prénom],Tab_base[Puce], ""))</f>
        <v/>
      </c>
      <c r="C86" t="str">
        <f>IF(A86="","",_xlfn.XLOOKUP(A86,Tab_base[Nom + Prénom],Tab_base[Court],""))</f>
        <v/>
      </c>
    </row>
    <row r="87" spans="2:3" x14ac:dyDescent="0.3">
      <c r="B87" t="str">
        <f>IF(A87="","",_xlfn.XLOOKUP(A87,Tab_base[Nom + Prénom],Tab_base[Puce], ""))</f>
        <v/>
      </c>
      <c r="C87" t="str">
        <f>IF(A87="","",_xlfn.XLOOKUP(A87,Tab_base[Nom + Prénom],Tab_base[Court],""))</f>
        <v/>
      </c>
    </row>
    <row r="88" spans="2:3" x14ac:dyDescent="0.3">
      <c r="B88" t="str">
        <f>IF(A88="","",_xlfn.XLOOKUP(A88,Tab_base[Nom + Prénom],Tab_base[Puce], ""))</f>
        <v/>
      </c>
      <c r="C88" t="str">
        <f>IF(A88="","",_xlfn.XLOOKUP(A88,Tab_base[Nom + Prénom],Tab_base[Court],""))</f>
        <v/>
      </c>
    </row>
    <row r="89" spans="2:3" x14ac:dyDescent="0.3">
      <c r="B89" t="str">
        <f>IF(A89="","",_xlfn.XLOOKUP(A89,Tab_base[Nom + Prénom],Tab_base[Puce], ""))</f>
        <v/>
      </c>
      <c r="C89" t="str">
        <f>IF(A89="","",_xlfn.XLOOKUP(A89,Tab_base[Nom + Prénom],Tab_base[Court],""))</f>
        <v/>
      </c>
    </row>
    <row r="90" spans="2:3" x14ac:dyDescent="0.3">
      <c r="B90" t="str">
        <f>IF(A90="","",_xlfn.XLOOKUP(A90,Tab_base[Nom + Prénom],Tab_base[Puce], ""))</f>
        <v/>
      </c>
      <c r="C90" t="str">
        <f>IF(A90="","",_xlfn.XLOOKUP(A90,Tab_base[Nom + Prénom],Tab_base[Court],""))</f>
        <v/>
      </c>
    </row>
    <row r="91" spans="2:3" x14ac:dyDescent="0.3">
      <c r="B91" t="str">
        <f>IF(A91="","",_xlfn.XLOOKUP(A91,Tab_base[Nom + Prénom],Tab_base[Puce], ""))</f>
        <v/>
      </c>
      <c r="C91" t="str">
        <f>IF(A91="","",_xlfn.XLOOKUP(A91,Tab_base[Nom + Prénom],Tab_base[Court],""))</f>
        <v/>
      </c>
    </row>
    <row r="92" spans="2:3" x14ac:dyDescent="0.3">
      <c r="B92" t="str">
        <f>IF(A92="","",_xlfn.XLOOKUP(A92,Tab_base[Nom + Prénom],Tab_base[Puce], ""))</f>
        <v/>
      </c>
      <c r="C92" t="str">
        <f>IF(A92="","",_xlfn.XLOOKUP(A92,Tab_base[Nom + Prénom],Tab_base[Court],""))</f>
        <v/>
      </c>
    </row>
    <row r="93" spans="2:3" x14ac:dyDescent="0.3">
      <c r="B93" t="str">
        <f>IF(A93="","",_xlfn.XLOOKUP(A93,Tab_base[Nom + Prénom],Tab_base[Puce], ""))</f>
        <v/>
      </c>
      <c r="C93" t="str">
        <f>IF(A93="","",_xlfn.XLOOKUP(A93,Tab_base[Nom + Prénom],Tab_base[Court],""))</f>
        <v/>
      </c>
    </row>
    <row r="94" spans="2:3" x14ac:dyDescent="0.3">
      <c r="B94" t="str">
        <f>IF(A94="","",_xlfn.XLOOKUP(A94,Tab_base[Nom + Prénom],Tab_base[Puce], ""))</f>
        <v/>
      </c>
      <c r="C94" t="str">
        <f>IF(A94="","",_xlfn.XLOOKUP(A94,Tab_base[Nom + Prénom],Tab_base[Court],""))</f>
        <v/>
      </c>
    </row>
    <row r="95" spans="2:3" x14ac:dyDescent="0.3">
      <c r="B95" t="str">
        <f>IF(A95="","",_xlfn.XLOOKUP(A95,Tab_base[Nom + Prénom],Tab_base[Puce], ""))</f>
        <v/>
      </c>
      <c r="C95" t="str">
        <f>IF(A95="","",_xlfn.XLOOKUP(A95,Tab_base[Nom + Prénom],Tab_base[Court],""))</f>
        <v/>
      </c>
    </row>
    <row r="96" spans="2:3" x14ac:dyDescent="0.3">
      <c r="B96" t="str">
        <f>IF(A96="","",_xlfn.XLOOKUP(A96,Tab_base[Nom + Prénom],Tab_base[Puce], ""))</f>
        <v/>
      </c>
      <c r="C96" t="str">
        <f>IF(A96="","",_xlfn.XLOOKUP(A96,Tab_base[Nom + Prénom],Tab_base[Court],""))</f>
        <v/>
      </c>
    </row>
    <row r="97" spans="2:3" x14ac:dyDescent="0.3">
      <c r="B97" t="str">
        <f>IF(A97="","",_xlfn.XLOOKUP(A97,Tab_base[Nom + Prénom],Tab_base[Puce], ""))</f>
        <v/>
      </c>
      <c r="C97" t="str">
        <f>IF(A97="","",_xlfn.XLOOKUP(A97,Tab_base[Nom + Prénom],Tab_base[Court],""))</f>
        <v/>
      </c>
    </row>
    <row r="98" spans="2:3" x14ac:dyDescent="0.3">
      <c r="B98" t="str">
        <f>IF(A98="","",_xlfn.XLOOKUP(A98,Tab_base[Nom + Prénom],Tab_base[Puce], ""))</f>
        <v/>
      </c>
      <c r="C98" t="str">
        <f>IF(A98="","",_xlfn.XLOOKUP(A98,Tab_base[Nom + Prénom],Tab_base[Court],""))</f>
        <v/>
      </c>
    </row>
    <row r="99" spans="2:3" x14ac:dyDescent="0.3">
      <c r="B99" t="str">
        <f>IF(A99="","",_xlfn.XLOOKUP(A99,Tab_base[Nom + Prénom],Tab_base[Puce], ""))</f>
        <v/>
      </c>
      <c r="C99" t="str">
        <f>IF(A99="","",_xlfn.XLOOKUP(A99,Tab_base[Nom + Prénom],Tab_base[Court],""))</f>
        <v/>
      </c>
    </row>
    <row r="100" spans="2:3" x14ac:dyDescent="0.3">
      <c r="B100" t="str">
        <f>IF(A100="","",_xlfn.XLOOKUP(A100,Tab_base[Nom + Prénom],Tab_base[Puce], ""))</f>
        <v/>
      </c>
      <c r="C100" t="str">
        <f>IF(A100="","",_xlfn.XLOOKUP(A100,Tab_base[Nom + Prénom],Tab_base[Court],""))</f>
        <v/>
      </c>
    </row>
    <row r="101" spans="2:3" x14ac:dyDescent="0.3">
      <c r="B101" t="str">
        <f>IF(A101="","",_xlfn.XLOOKUP(A101,Tab_base[Nom + Prénom],Tab_base[Puce], ""))</f>
        <v/>
      </c>
      <c r="C101" t="str">
        <f>IF(A101="","",_xlfn.XLOOKUP(A101,Tab_base[Nom + Prénom],Tab_base[Court],""))</f>
        <v/>
      </c>
    </row>
    <row r="102" spans="2:3" x14ac:dyDescent="0.3">
      <c r="B102" t="str">
        <f>IF(A102="","",_xlfn.XLOOKUP(A102,Tab_base[Nom + Prénom],Tab_base[Puce], ""))</f>
        <v/>
      </c>
      <c r="C102" t="str">
        <f>IF(A102="","",_xlfn.XLOOKUP(A102,Tab_base[Nom + Prénom],Tab_base[Court],""))</f>
        <v/>
      </c>
    </row>
    <row r="103" spans="2:3" x14ac:dyDescent="0.3">
      <c r="B103" t="str">
        <f>IF(A103="","",_xlfn.XLOOKUP(A103,Tab_base[Nom + Prénom],Tab_base[Puce], ""))</f>
        <v/>
      </c>
      <c r="C103" t="str">
        <f>IF(A103="","",_xlfn.XLOOKUP(A103,Tab_base[Nom + Prénom],Tab_base[Court],""))</f>
        <v/>
      </c>
    </row>
    <row r="104" spans="2:3" x14ac:dyDescent="0.3">
      <c r="B104" t="str">
        <f>IF(A104="","",_xlfn.XLOOKUP(A104,Tab_base[Nom + Prénom],Tab_base[Puce], ""))</f>
        <v/>
      </c>
      <c r="C104" t="str">
        <f>IF(A104="","",_xlfn.XLOOKUP(A104,Tab_base[Nom + Prénom],Tab_base[Court],""))</f>
        <v/>
      </c>
    </row>
    <row r="105" spans="2:3" x14ac:dyDescent="0.3">
      <c r="B105" t="str">
        <f>IF(A105="","",_xlfn.XLOOKUP(A105,Tab_base[Nom + Prénom],Tab_base[Puce], ""))</f>
        <v/>
      </c>
      <c r="C105" t="str">
        <f>IF(A105="","",_xlfn.XLOOKUP(A105,Tab_base[Nom + Prénom],Tab_base[Court],""))</f>
        <v/>
      </c>
    </row>
    <row r="106" spans="2:3" x14ac:dyDescent="0.3">
      <c r="B106" t="str">
        <f>IF(A106="","",_xlfn.XLOOKUP(A106,Tab_base[Nom + Prénom],Tab_base[Puce], ""))</f>
        <v/>
      </c>
      <c r="C106" t="str">
        <f>IF(A106="","",_xlfn.XLOOKUP(A106,Tab_base[Nom + Prénom],Tab_base[Court],""))</f>
        <v/>
      </c>
    </row>
    <row r="107" spans="2:3" x14ac:dyDescent="0.3">
      <c r="B107" t="str">
        <f>IF(A107="","",_xlfn.XLOOKUP(A107,Tab_base[Nom + Prénom],Tab_base[Puce], ""))</f>
        <v/>
      </c>
      <c r="C107" t="str">
        <f>IF(A107="","",_xlfn.XLOOKUP(A107,Tab_base[Nom + Prénom],Tab_base[Court],""))</f>
        <v/>
      </c>
    </row>
    <row r="108" spans="2:3" x14ac:dyDescent="0.3">
      <c r="B108" t="str">
        <f>IF(A108="","",_xlfn.XLOOKUP(A108,Tab_base[Nom + Prénom],Tab_base[Puce], ""))</f>
        <v/>
      </c>
      <c r="C108" t="str">
        <f>IF(A108="","",_xlfn.XLOOKUP(A108,Tab_base[Nom + Prénom],Tab_base[Court],""))</f>
        <v/>
      </c>
    </row>
    <row r="109" spans="2:3" x14ac:dyDescent="0.3">
      <c r="B109" t="str">
        <f>IF(A109="","",_xlfn.XLOOKUP(A109,Tab_base[Nom + Prénom],Tab_base[Puce], ""))</f>
        <v/>
      </c>
      <c r="C109" t="str">
        <f>IF(A109="","",_xlfn.XLOOKUP(A109,Tab_base[Nom + Prénom],Tab_base[Court],""))</f>
        <v/>
      </c>
    </row>
    <row r="110" spans="2:3" x14ac:dyDescent="0.3">
      <c r="B110" t="str">
        <f>IF(A110="","",_xlfn.XLOOKUP(A110,Tab_base[Nom + Prénom],Tab_base[Puce], ""))</f>
        <v/>
      </c>
      <c r="C110" t="str">
        <f>IF(A110="","",_xlfn.XLOOKUP(A110,Tab_base[Nom + Prénom],Tab_base[Court],""))</f>
        <v/>
      </c>
    </row>
    <row r="111" spans="2:3" x14ac:dyDescent="0.3">
      <c r="B111" t="str">
        <f>IF(A111="","",_xlfn.XLOOKUP(A111,Tab_base[Nom + Prénom],Tab_base[Puce], ""))</f>
        <v/>
      </c>
      <c r="C111" t="str">
        <f>IF(A111="","",_xlfn.XLOOKUP(A111,Tab_base[Nom + Prénom],Tab_base[Court],""))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boautoComplete">
          <controlPr defaultSize="0" autoLine="0" r:id="rId5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1</xdr:col>
                <xdr:colOff>320040</xdr:colOff>
                <xdr:row>49</xdr:row>
                <xdr:rowOff>53340</xdr:rowOff>
              </to>
            </anchor>
          </controlPr>
        </control>
      </mc:Choice>
      <mc:Fallback>
        <control shapeId="7169" r:id="rId4" name="CboautoComple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2287CA-1C29-4A9D-8C61-D1397368058C}">
          <x14:formula1>
            <xm:f>base!$Y$2:$Y$90</xm:f>
          </x14:formula1>
          <xm:sqref>A36:A161 A3:A33</xm:sqref>
        </x14:dataValidation>
        <x14:dataValidation type="list" allowBlank="1" showInputMessage="1" showErrorMessage="1" xr:uid="{8224BA41-D108-4C3C-889F-F6C2A8146754}">
          <x14:formula1>
            <xm:f>base!$Y:$Y</xm:f>
          </x14:formula1>
          <xm:sqref>A34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F138-C595-447A-A79A-EC42CA8E4E07}">
  <sheetPr codeName="Feuil2"/>
  <dimension ref="A1:CU100"/>
  <sheetViews>
    <sheetView topLeftCell="C1" workbookViewId="0">
      <selection activeCell="A16" sqref="A16:XFD16"/>
    </sheetView>
  </sheetViews>
  <sheetFormatPr baseColWidth="10" defaultRowHeight="14.4" x14ac:dyDescent="0.3"/>
  <cols>
    <col min="1" max="1" width="19.6640625" bestFit="1" customWidth="1"/>
    <col min="4" max="4" width="6.21875" customWidth="1"/>
    <col min="5" max="5" width="6.109375" bestFit="1" customWidth="1"/>
    <col min="6" max="6" width="6" bestFit="1" customWidth="1"/>
    <col min="7" max="7" width="5.77734375" style="7" bestFit="1" customWidth="1"/>
    <col min="8" max="8" width="6.5546875" bestFit="1" customWidth="1"/>
    <col min="9" max="9" width="6.6640625" customWidth="1"/>
    <col min="10" max="10" width="6.109375" bestFit="1" customWidth="1"/>
    <col min="11" max="11" width="8.109375" bestFit="1" customWidth="1"/>
    <col min="12" max="12" width="5.77734375" style="7" bestFit="1" customWidth="1"/>
    <col min="13" max="13" width="8.109375" bestFit="1" customWidth="1"/>
    <col min="14" max="14" width="6.6640625" customWidth="1"/>
    <col min="15" max="16" width="8.109375" bestFit="1" customWidth="1"/>
    <col min="17" max="17" width="5.77734375" style="7" bestFit="1" customWidth="1"/>
    <col min="18" max="18" width="6.5546875" bestFit="1" customWidth="1"/>
    <col min="19" max="19" width="11.6640625" customWidth="1"/>
    <col min="20" max="20" width="6.109375" bestFit="1" customWidth="1"/>
    <col min="21" max="21" width="8.109375" bestFit="1" customWidth="1"/>
    <col min="22" max="22" width="5.77734375" style="7" bestFit="1" customWidth="1"/>
    <col min="23" max="23" width="6.5546875" bestFit="1" customWidth="1"/>
    <col min="24" max="24" width="3.21875" customWidth="1"/>
    <col min="25" max="25" width="6.109375" bestFit="1" customWidth="1"/>
    <col min="26" max="26" width="8.109375" bestFit="1" customWidth="1"/>
    <col min="27" max="27" width="5.77734375" style="7" bestFit="1" customWidth="1"/>
    <col min="28" max="28" width="6.5546875" bestFit="1" customWidth="1"/>
    <col min="29" max="29" width="7.88671875" customWidth="1"/>
    <col min="30" max="30" width="6.109375" bestFit="1" customWidth="1"/>
    <col min="31" max="31" width="8.109375" bestFit="1" customWidth="1"/>
    <col min="32" max="32" width="5.77734375" style="7" bestFit="1" customWidth="1"/>
    <col min="33" max="33" width="6.5546875" bestFit="1" customWidth="1"/>
    <col min="34" max="34" width="10.109375" customWidth="1"/>
    <col min="35" max="35" width="6.109375" bestFit="1" customWidth="1"/>
    <col min="36" max="36" width="8.109375" bestFit="1" customWidth="1"/>
    <col min="37" max="37" width="6.33203125" style="7" bestFit="1" customWidth="1"/>
    <col min="39" max="39" width="11.109375" customWidth="1"/>
    <col min="41" max="41" width="11.44140625" customWidth="1"/>
    <col min="42" max="42" width="7.6640625" style="7" customWidth="1"/>
    <col min="43" max="43" width="5.5546875" bestFit="1" customWidth="1"/>
    <col min="44" max="44" width="6.21875" bestFit="1" customWidth="1"/>
    <col min="45" max="45" width="6.109375" bestFit="1" customWidth="1"/>
    <col min="46" max="46" width="6" bestFit="1" customWidth="1"/>
    <col min="47" max="47" width="4.5546875" style="7" bestFit="1" customWidth="1"/>
    <col min="48" max="48" width="5.21875" bestFit="1" customWidth="1"/>
    <col min="49" max="49" width="7.21875" bestFit="1" customWidth="1"/>
    <col min="50" max="50" width="7.109375" bestFit="1" customWidth="1"/>
    <col min="51" max="51" width="7" bestFit="1" customWidth="1"/>
    <col min="52" max="52" width="5.5546875" style="7" bestFit="1" customWidth="1"/>
    <col min="53" max="53" width="5.21875" bestFit="1" customWidth="1"/>
    <col min="54" max="54" width="7.21875" bestFit="1" customWidth="1"/>
    <col min="55" max="55" width="7.109375" bestFit="1" customWidth="1"/>
    <col min="56" max="56" width="7" bestFit="1" customWidth="1"/>
    <col min="57" max="57" width="5.5546875" style="7" bestFit="1" customWidth="1"/>
    <col min="58" max="58" width="5.21875" bestFit="1" customWidth="1"/>
    <col min="59" max="59" width="7.21875" bestFit="1" customWidth="1"/>
    <col min="60" max="60" width="7.109375" bestFit="1" customWidth="1"/>
    <col min="61" max="61" width="6.44140625" bestFit="1" customWidth="1"/>
    <col min="62" max="62" width="5.5546875" style="7" bestFit="1" customWidth="1"/>
    <col min="63" max="63" width="5.21875" bestFit="1" customWidth="1"/>
    <col min="64" max="64" width="7.21875" bestFit="1" customWidth="1"/>
    <col min="65" max="65" width="7.109375" bestFit="1" customWidth="1"/>
    <col min="66" max="66" width="7" bestFit="1" customWidth="1"/>
    <col min="67" max="67" width="5.5546875" style="7" bestFit="1" customWidth="1"/>
    <col min="68" max="68" width="5.21875" bestFit="1" customWidth="1"/>
    <col min="69" max="69" width="7.21875" bestFit="1" customWidth="1"/>
    <col min="70" max="70" width="7.109375" bestFit="1" customWidth="1"/>
    <col min="71" max="71" width="7" bestFit="1" customWidth="1"/>
    <col min="72" max="72" width="5.5546875" style="7" bestFit="1" customWidth="1"/>
    <col min="73" max="73" width="5.21875" bestFit="1" customWidth="1"/>
    <col min="74" max="74" width="7.21875" bestFit="1" customWidth="1"/>
    <col min="75" max="75" width="7.109375" bestFit="1" customWidth="1"/>
    <col min="76" max="76" width="7" bestFit="1" customWidth="1"/>
    <col min="77" max="77" width="5.5546875" style="7" bestFit="1" customWidth="1"/>
    <col min="78" max="78" width="5.21875" bestFit="1" customWidth="1"/>
  </cols>
  <sheetData>
    <row r="1" spans="1:99" x14ac:dyDescent="0.3">
      <c r="A1" t="s">
        <v>0</v>
      </c>
      <c r="D1" t="s">
        <v>126</v>
      </c>
      <c r="I1" t="s">
        <v>204</v>
      </c>
      <c r="N1" t="s">
        <v>127</v>
      </c>
      <c r="S1" t="s">
        <v>128</v>
      </c>
      <c r="X1" t="s">
        <v>129</v>
      </c>
      <c r="AC1" t="s">
        <v>130</v>
      </c>
      <c r="AH1" t="s">
        <v>131</v>
      </c>
      <c r="AM1" t="s">
        <v>132</v>
      </c>
    </row>
    <row r="2" spans="1:99" x14ac:dyDescent="0.3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s="7" t="s">
        <v>9</v>
      </c>
      <c r="H2" t="s">
        <v>10</v>
      </c>
      <c r="I2" t="s">
        <v>11</v>
      </c>
      <c r="J2" t="s">
        <v>12</v>
      </c>
      <c r="K2" t="s">
        <v>13</v>
      </c>
      <c r="L2" s="7" t="s">
        <v>14</v>
      </c>
      <c r="M2" t="s">
        <v>10</v>
      </c>
      <c r="N2" t="s">
        <v>15</v>
      </c>
      <c r="O2" t="s">
        <v>16</v>
      </c>
      <c r="P2" t="s">
        <v>17</v>
      </c>
      <c r="Q2" s="7" t="s">
        <v>18</v>
      </c>
      <c r="R2" t="s">
        <v>10</v>
      </c>
      <c r="S2" t="s">
        <v>19</v>
      </c>
      <c r="T2" t="s">
        <v>20</v>
      </c>
      <c r="U2" t="s">
        <v>21</v>
      </c>
      <c r="V2" s="7" t="s">
        <v>22</v>
      </c>
      <c r="W2" t="s">
        <v>10</v>
      </c>
      <c r="X2" t="s">
        <v>23</v>
      </c>
      <c r="Y2" t="s">
        <v>24</v>
      </c>
      <c r="Z2" t="s">
        <v>25</v>
      </c>
      <c r="AA2" s="7" t="s">
        <v>26</v>
      </c>
      <c r="AB2" t="s">
        <v>10</v>
      </c>
      <c r="AC2" t="s">
        <v>27</v>
      </c>
      <c r="AD2" t="s">
        <v>28</v>
      </c>
      <c r="AE2" t="s">
        <v>29</v>
      </c>
      <c r="AF2" s="7" t="s">
        <v>30</v>
      </c>
      <c r="AG2" t="s">
        <v>10</v>
      </c>
      <c r="AH2" t="s">
        <v>31</v>
      </c>
      <c r="AI2" t="s">
        <v>32</v>
      </c>
      <c r="AJ2" t="s">
        <v>33</v>
      </c>
      <c r="AK2" s="7" t="s">
        <v>34</v>
      </c>
      <c r="AL2" t="s">
        <v>10</v>
      </c>
      <c r="AM2" t="s">
        <v>35</v>
      </c>
      <c r="AN2" t="s">
        <v>36</v>
      </c>
      <c r="AO2" t="s">
        <v>37</v>
      </c>
      <c r="AP2" s="7" t="s">
        <v>38</v>
      </c>
      <c r="AQ2" t="s">
        <v>10</v>
      </c>
    </row>
    <row r="3" spans="1:99" x14ac:dyDescent="0.3">
      <c r="A3" t="s">
        <v>239</v>
      </c>
      <c r="B3">
        <f>IF(A3="","",_xlfn.XLOOKUP(A3,Tab_base[Nom + Prénom],Tab_base[Puce], ""))</f>
        <v>8534679</v>
      </c>
      <c r="C3" t="str">
        <f>IF(A3="","",_xlfn.XLOOKUP(A3,Tab_base[Nom + Prénom],Tab_base[Court],""))</f>
        <v>H14</v>
      </c>
      <c r="D3" t="s">
        <v>133</v>
      </c>
      <c r="E3" t="s">
        <v>68</v>
      </c>
      <c r="F3" s="3">
        <v>0.88055555555555554</v>
      </c>
      <c r="G3" s="7" t="s">
        <v>187</v>
      </c>
      <c r="H3" t="s">
        <v>134</v>
      </c>
      <c r="I3" t="s">
        <v>135</v>
      </c>
      <c r="J3" t="s">
        <v>68</v>
      </c>
      <c r="K3" s="2">
        <v>4.4710648148148152E-2</v>
      </c>
      <c r="L3" s="7" t="s">
        <v>136</v>
      </c>
      <c r="M3" t="s">
        <v>137</v>
      </c>
    </row>
    <row r="4" spans="1:99" x14ac:dyDescent="0.3">
      <c r="A4" t="s">
        <v>241</v>
      </c>
      <c r="B4">
        <f>IF(A4="","",_xlfn.XLOOKUP(A4,Tab_base[Nom + Prénom],Tab_base[Puce], ""))</f>
        <v>8534692</v>
      </c>
      <c r="C4" t="str">
        <f>IF(A4="","",_xlfn.XLOOKUP(A4,Tab_base[Nom + Prénom],Tab_base[Court],""))</f>
        <v>H40</v>
      </c>
      <c r="D4" t="s">
        <v>69</v>
      </c>
      <c r="E4" t="s">
        <v>68</v>
      </c>
      <c r="F4" s="3">
        <v>0.93611111111111101</v>
      </c>
      <c r="G4" s="7" t="s">
        <v>139</v>
      </c>
      <c r="H4" t="s">
        <v>140</v>
      </c>
      <c r="I4" t="s">
        <v>70</v>
      </c>
      <c r="J4" t="s">
        <v>68</v>
      </c>
      <c r="K4" s="2">
        <v>9.6701388888888892E-2</v>
      </c>
      <c r="L4" s="7" t="s">
        <v>141</v>
      </c>
      <c r="M4" t="s">
        <v>142</v>
      </c>
    </row>
    <row r="5" spans="1:99" x14ac:dyDescent="0.3">
      <c r="A5" t="s">
        <v>243</v>
      </c>
      <c r="B5">
        <f>IF(A5="","",_xlfn.XLOOKUP(A5,Tab_base[Nom + Prénom],Tab_base[Puce], ""))</f>
        <v>2158061</v>
      </c>
      <c r="C5" t="str">
        <f>IF(A5="","",_xlfn.XLOOKUP(A5,Tab_base[Nom + Prénom],Tab_base[Court],""))</f>
        <v>D10</v>
      </c>
      <c r="D5" t="s">
        <v>144</v>
      </c>
      <c r="E5" t="s">
        <v>68</v>
      </c>
      <c r="F5" s="3">
        <v>0.37638888888888888</v>
      </c>
      <c r="G5" s="7" t="s">
        <v>188</v>
      </c>
      <c r="H5" s="3">
        <v>0</v>
      </c>
      <c r="I5" t="s">
        <v>133</v>
      </c>
      <c r="J5" t="s">
        <v>68</v>
      </c>
      <c r="K5" s="5">
        <v>1.7256944444444444</v>
      </c>
      <c r="L5" s="7" t="s">
        <v>145</v>
      </c>
      <c r="M5" t="s">
        <v>146</v>
      </c>
    </row>
    <row r="6" spans="1:99" x14ac:dyDescent="0.3">
      <c r="A6" t="s">
        <v>272</v>
      </c>
      <c r="B6">
        <f>IF(A6="","",_xlfn.XLOOKUP(A6,Tab_base[Nom + Prénom],Tab_base[Puce], ""))</f>
        <v>8890305</v>
      </c>
      <c r="C6" t="str">
        <f>IF(A6="","",_xlfn.XLOOKUP(A6,Tab_base[Nom + Prénom],Tab_base[Court],""))</f>
        <v>H55</v>
      </c>
      <c r="X6" t="s">
        <v>71</v>
      </c>
      <c r="Y6" t="s">
        <v>68</v>
      </c>
      <c r="Z6" t="s">
        <v>148</v>
      </c>
      <c r="AA6" s="7" t="s">
        <v>149</v>
      </c>
      <c r="AB6" t="s">
        <v>149</v>
      </c>
      <c r="AC6" t="s">
        <v>150</v>
      </c>
      <c r="AD6" t="s">
        <v>68</v>
      </c>
      <c r="AE6" s="5">
        <v>1.8361111111111112</v>
      </c>
      <c r="AF6" s="7" t="s">
        <v>149</v>
      </c>
      <c r="AG6" t="s">
        <v>149</v>
      </c>
    </row>
    <row r="7" spans="1:99" x14ac:dyDescent="0.3">
      <c r="A7" t="s">
        <v>299</v>
      </c>
      <c r="B7">
        <f>IF(A7="","",_xlfn.XLOOKUP(A7,Tab_base[Nom + Prénom],Tab_base[Puce], ""))</f>
        <v>8008903</v>
      </c>
      <c r="C7" t="str">
        <f>IF(A7="","",_xlfn.XLOOKUP(A7,Tab_base[Nom + Prénom],Tab_base[Court],""))</f>
        <v>H65</v>
      </c>
      <c r="X7" t="s">
        <v>73</v>
      </c>
      <c r="Y7" t="s">
        <v>68</v>
      </c>
      <c r="Z7" t="s">
        <v>148</v>
      </c>
      <c r="AA7" s="7" t="s">
        <v>149</v>
      </c>
      <c r="AB7" t="s">
        <v>149</v>
      </c>
      <c r="AC7" t="s">
        <v>151</v>
      </c>
      <c r="AD7" t="s">
        <v>68</v>
      </c>
      <c r="AE7" s="5">
        <v>1.3187499999999999</v>
      </c>
      <c r="AF7" s="7" t="s">
        <v>149</v>
      </c>
      <c r="AG7" t="s">
        <v>149</v>
      </c>
      <c r="AH7" t="s">
        <v>74</v>
      </c>
      <c r="AI7" t="s">
        <v>68</v>
      </c>
      <c r="AJ7" s="2">
        <v>5.8622685185185187E-2</v>
      </c>
      <c r="AK7" s="7" t="s">
        <v>152</v>
      </c>
      <c r="AL7" t="s">
        <v>153</v>
      </c>
    </row>
    <row r="8" spans="1:99" x14ac:dyDescent="0.3">
      <c r="A8" t="s">
        <v>314</v>
      </c>
      <c r="B8">
        <f>IF(A8="","",_xlfn.XLOOKUP(A8,Tab_base[Nom + Prénom],Tab_base[Puce], ""))</f>
        <v>2158056</v>
      </c>
      <c r="C8" t="str">
        <f>IF(A8="","",_xlfn.XLOOKUP(A8,Tab_base[Nom + Prénom],Tab_base[Court],""))</f>
        <v>D40</v>
      </c>
      <c r="D8" t="s">
        <v>155</v>
      </c>
      <c r="E8" t="s">
        <v>68</v>
      </c>
      <c r="F8" t="s">
        <v>148</v>
      </c>
      <c r="G8" s="7" t="s">
        <v>149</v>
      </c>
      <c r="H8" t="s">
        <v>149</v>
      </c>
      <c r="I8" t="s">
        <v>71</v>
      </c>
      <c r="J8" t="s">
        <v>68</v>
      </c>
      <c r="K8" s="2">
        <v>8.0081018518518524E-2</v>
      </c>
      <c r="L8" s="7" t="s">
        <v>156</v>
      </c>
      <c r="M8" t="s">
        <v>157</v>
      </c>
    </row>
    <row r="9" spans="1:99" x14ac:dyDescent="0.3">
      <c r="A9" t="s">
        <v>317</v>
      </c>
      <c r="B9">
        <f>IF(A9="","",_xlfn.XLOOKUP(A9,Tab_base[Nom + Prénom],Tab_base[Puce], ""))</f>
        <v>8890301</v>
      </c>
      <c r="C9" t="str">
        <f>IF(A9="","",_xlfn.XLOOKUP(A9,Tab_base[Nom + Prénom],Tab_base[Court],""))</f>
        <v>D21</v>
      </c>
      <c r="D9" t="s">
        <v>76</v>
      </c>
      <c r="E9" t="s">
        <v>68</v>
      </c>
      <c r="F9" s="3">
        <v>0.85833333333333339</v>
      </c>
      <c r="G9" s="7" t="s">
        <v>190</v>
      </c>
      <c r="H9" t="s">
        <v>158</v>
      </c>
      <c r="I9" t="s">
        <v>76</v>
      </c>
      <c r="J9" t="s">
        <v>68</v>
      </c>
      <c r="K9" s="2">
        <v>8.6284722222222221E-2</v>
      </c>
      <c r="L9" s="7" t="s">
        <v>192</v>
      </c>
      <c r="M9" t="s">
        <v>159</v>
      </c>
    </row>
    <row r="10" spans="1:99" x14ac:dyDescent="0.3">
      <c r="A10" t="s">
        <v>319</v>
      </c>
      <c r="B10">
        <f>IF(A10="","",_xlfn.XLOOKUP(A10,Tab_base[Nom + Prénom],Tab_base[Puce], ""))</f>
        <v>8280173</v>
      </c>
      <c r="C10" t="str">
        <f>IF(A10="","",_xlfn.XLOOKUP(A10,Tab_base[Nom + Prénom],Tab_base[Court],""))</f>
        <v>H50</v>
      </c>
      <c r="D10" t="s">
        <v>73</v>
      </c>
      <c r="E10" t="s">
        <v>68</v>
      </c>
      <c r="F10" t="s">
        <v>149</v>
      </c>
      <c r="G10" s="7" t="s">
        <v>191</v>
      </c>
      <c r="H10" t="s">
        <v>160</v>
      </c>
      <c r="I10" t="s">
        <v>69</v>
      </c>
      <c r="J10" t="s">
        <v>68</v>
      </c>
      <c r="K10" s="2">
        <v>5.5844907407407406E-2</v>
      </c>
      <c r="L10" s="7" t="s">
        <v>193</v>
      </c>
      <c r="M10" t="s">
        <v>161</v>
      </c>
    </row>
    <row r="11" spans="1:99" x14ac:dyDescent="0.3">
      <c r="A11" t="s">
        <v>328</v>
      </c>
      <c r="B11">
        <f>IF(A11="","",_xlfn.XLOOKUP(A11,Tab_base[Nom + Prénom],Tab_base[Puce], ""))</f>
        <v>8005961</v>
      </c>
      <c r="C11" t="str">
        <f>IF(A11="","",_xlfn.XLOOKUP(A11,Tab_base[Nom + Prénom],Tab_base[Court],""))</f>
        <v>H65</v>
      </c>
      <c r="D11" t="s">
        <v>155</v>
      </c>
      <c r="E11" t="s">
        <v>68</v>
      </c>
      <c r="F11" s="3">
        <v>0.79027777777777775</v>
      </c>
      <c r="G11" s="7" t="s">
        <v>189</v>
      </c>
      <c r="H11" t="s">
        <v>162</v>
      </c>
      <c r="I11" t="s">
        <v>163</v>
      </c>
      <c r="J11" t="s">
        <v>68</v>
      </c>
      <c r="K11" s="5">
        <v>2.0222222222222221</v>
      </c>
      <c r="L11" s="7" t="s">
        <v>194</v>
      </c>
      <c r="M11" t="s">
        <v>164</v>
      </c>
      <c r="N11" t="s">
        <v>74</v>
      </c>
      <c r="O11" s="5" t="s">
        <v>68</v>
      </c>
      <c r="P11" s="2">
        <v>4.1585648148148149E-2</v>
      </c>
      <c r="Q11" s="7" t="s">
        <v>195</v>
      </c>
      <c r="R11" t="s">
        <v>165</v>
      </c>
      <c r="S11" t="s">
        <v>78</v>
      </c>
      <c r="T11" t="s">
        <v>68</v>
      </c>
      <c r="U11" s="2">
        <v>4.898148148148148E-2</v>
      </c>
      <c r="V11" s="7" t="s">
        <v>166</v>
      </c>
      <c r="W11" t="s">
        <v>167</v>
      </c>
      <c r="X11" t="s">
        <v>73</v>
      </c>
      <c r="Y11" t="s">
        <v>68</v>
      </c>
      <c r="Z11" s="2">
        <v>6.1076388888888888E-2</v>
      </c>
      <c r="AA11" s="7" t="s">
        <v>168</v>
      </c>
      <c r="AB11" t="s">
        <v>169</v>
      </c>
      <c r="AC11" t="s">
        <v>170</v>
      </c>
      <c r="AD11" t="s">
        <v>68</v>
      </c>
      <c r="AE11" s="5">
        <v>1.7715277777777778</v>
      </c>
      <c r="AF11" s="7" t="s">
        <v>171</v>
      </c>
      <c r="AG11" t="s">
        <v>172</v>
      </c>
      <c r="AH11" t="s">
        <v>74</v>
      </c>
      <c r="AI11" t="s">
        <v>68</v>
      </c>
      <c r="AJ11" t="s">
        <v>148</v>
      </c>
      <c r="AK11" s="7" t="s">
        <v>149</v>
      </c>
      <c r="AL11" t="s">
        <v>149</v>
      </c>
      <c r="AM11" t="s">
        <v>173</v>
      </c>
      <c r="AN11" t="s">
        <v>68</v>
      </c>
      <c r="AO11" s="2">
        <v>4.5636574074074072E-2</v>
      </c>
      <c r="AP11" s="7" t="s">
        <v>203</v>
      </c>
      <c r="AQ11" t="s">
        <v>174</v>
      </c>
    </row>
    <row r="12" spans="1:99" x14ac:dyDescent="0.3">
      <c r="A12" t="s">
        <v>346</v>
      </c>
      <c r="B12">
        <f>IF(A12="","",_xlfn.XLOOKUP(A12,Tab_base[Nom + Prénom],Tab_base[Puce], ""))</f>
        <v>8509002</v>
      </c>
      <c r="C12" t="str">
        <f>IF(A12="","",_xlfn.XLOOKUP(A12,Tab_base[Nom + Prénom],Tab_base[Court],""))</f>
        <v>H55</v>
      </c>
      <c r="X12" t="s">
        <v>71</v>
      </c>
      <c r="Y12" t="s">
        <v>68</v>
      </c>
      <c r="Z12" s="5">
        <v>1.8618055555555555</v>
      </c>
      <c r="AA12" s="7" t="s">
        <v>196</v>
      </c>
      <c r="AB12" t="s">
        <v>175</v>
      </c>
      <c r="AC12" t="s">
        <v>176</v>
      </c>
      <c r="AD12" t="s">
        <v>68</v>
      </c>
      <c r="AE12" s="5">
        <v>1.6152777777777778</v>
      </c>
      <c r="AF12" s="7" t="s">
        <v>198</v>
      </c>
      <c r="AG12" s="9" t="s">
        <v>200</v>
      </c>
      <c r="AH12" t="s">
        <v>177</v>
      </c>
      <c r="AI12" t="s">
        <v>68</v>
      </c>
      <c r="AJ12" s="2">
        <v>5.6099537037037038E-2</v>
      </c>
      <c r="AK12" s="7" t="s">
        <v>202</v>
      </c>
      <c r="AL12" t="s">
        <v>178</v>
      </c>
    </row>
    <row r="13" spans="1:99" x14ac:dyDescent="0.3">
      <c r="A13" t="s">
        <v>179</v>
      </c>
      <c r="B13">
        <f>IF(A13="","",_xlfn.XLOOKUP(A13,Tab_base[Nom + Prénom],Tab_base[Puce], ""))</f>
        <v>8890302</v>
      </c>
      <c r="C13" t="str">
        <f>IF(A13="","",_xlfn.XLOOKUP(A13,Tab_base[Nom + Prénom],Tab_base[Court],""))</f>
        <v>D40</v>
      </c>
      <c r="X13" t="s">
        <v>69</v>
      </c>
      <c r="Y13" t="s">
        <v>68</v>
      </c>
      <c r="Z13" s="5">
        <v>1.8444444444444443</v>
      </c>
      <c r="AA13" s="7" t="s">
        <v>197</v>
      </c>
      <c r="AB13" t="s">
        <v>180</v>
      </c>
      <c r="AH13" t="s">
        <v>181</v>
      </c>
      <c r="AI13" t="s">
        <v>68</v>
      </c>
      <c r="AJ13" s="2">
        <v>7.7002314814814815E-2</v>
      </c>
      <c r="AK13" s="7" t="s">
        <v>201</v>
      </c>
      <c r="AL13" t="s">
        <v>182</v>
      </c>
    </row>
    <row r="14" spans="1:99" x14ac:dyDescent="0.3">
      <c r="A14" t="s">
        <v>183</v>
      </c>
      <c r="B14" t="str">
        <f>IF(A14="","",_xlfn.XLOOKUP(A14,Tab_base[Nom + Prénom],Tab_base[Puce], ""))</f>
        <v/>
      </c>
      <c r="C14" t="str">
        <f>IF(A14="","",_xlfn.XLOOKUP(A14,Tab_base[Nom + Prénom],Tab_base[Court],""))</f>
        <v/>
      </c>
      <c r="AC14" t="s">
        <v>72</v>
      </c>
      <c r="AD14" t="s">
        <v>68</v>
      </c>
      <c r="AE14" s="2">
        <v>5.1504629629629629E-2</v>
      </c>
      <c r="AF14" s="7" t="s">
        <v>199</v>
      </c>
      <c r="AG14" t="s">
        <v>184</v>
      </c>
    </row>
    <row r="15" spans="1:99" x14ac:dyDescent="0.3">
      <c r="A15" t="s">
        <v>185</v>
      </c>
      <c r="B15" t="str">
        <f>IF(A15="","",_xlfn.XLOOKUP(A15,Tab_base[Nom + Prénom],Tab_base[Puce], ""))</f>
        <v/>
      </c>
      <c r="C15" t="str">
        <f>IF(A15="","",_xlfn.XLOOKUP(A15,Tab_base[Nom + Prénom],Tab_base[Court],""))</f>
        <v/>
      </c>
      <c r="AC15" t="s">
        <v>147</v>
      </c>
      <c r="AD15" t="s">
        <v>68</v>
      </c>
      <c r="AE15" s="2">
        <v>5.752314814814815E-2</v>
      </c>
      <c r="AF15" s="7" t="s">
        <v>196</v>
      </c>
      <c r="AG15" t="s">
        <v>186</v>
      </c>
    </row>
    <row r="16" spans="1:99" x14ac:dyDescent="0.3">
      <c r="A16" t="s">
        <v>689</v>
      </c>
      <c r="B16" t="str">
        <f>IF(A16="","",_xlfn.XLOOKUP(A16,Tab_base[Nom + Prénom],Tab_base[Puce], ""))</f>
        <v>.</v>
      </c>
      <c r="C16" t="str">
        <f>IF(A16="","",_xlfn.XLOOKUP(A16,Tab_base[Nom + Prénom],Tab_base[Court],""))</f>
        <v>.</v>
      </c>
      <c r="D16">
        <f>IF(COUNTIF(D$3:D15, "&lt;&gt;")=0, "", COUNTIF(D$3:D15, "&lt;&gt;"))</f>
        <v>7</v>
      </c>
      <c r="I16">
        <f>IF(COUNTIF(I$3:I15, "&lt;&gt;")=0, "", COUNTIF(I$3:I15, "&lt;&gt;"))</f>
        <v>7</v>
      </c>
      <c r="N16">
        <f>IF(COUNTIF(N$3:N15, "&lt;&gt;")=0, "", COUNTIF(N$3:N15, "&lt;&gt;"))</f>
        <v>1</v>
      </c>
      <c r="S16">
        <f>IF(COUNTIF(S$3:S15, "&lt;&gt;")=0, "", COUNTIF(S$3:S15, "&lt;&gt;"))</f>
        <v>1</v>
      </c>
      <c r="X16">
        <f>IF(COUNTIF(X$3:X15, "&lt;&gt;")=0, "", COUNTIF(X$3:X15, "&lt;&gt;"))</f>
        <v>5</v>
      </c>
      <c r="AC16">
        <f>IF(COUNTIF(AC$3:AC15, "&lt;&gt;")=0, "", COUNTIF(AC$3:AC15, "&lt;&gt;"))</f>
        <v>6</v>
      </c>
      <c r="AH16">
        <f>IF(COUNTIF(AH$3:AH15, "&lt;&gt;")=0, "", COUNTIF(AH$3:AH15, "&lt;&gt;"))</f>
        <v>4</v>
      </c>
      <c r="AM16">
        <f>IF(COUNTIF(AM$3:AM15, "&lt;&gt;")=0, "", COUNTIF(AM$3:AM15, "&lt;&gt;"))</f>
        <v>1</v>
      </c>
      <c r="AR16" t="str">
        <f>IF(COUNTIF(AR$3:AR15, "&lt;&gt;")=0, "", COUNTIF(AR$3:AR15, "&lt;&gt;"))</f>
        <v/>
      </c>
      <c r="AW16" t="str">
        <f>IF(COUNTIF(AW$3:AW15, "&lt;&gt;")=0, "", COUNTIF(AW$3:AW15, "&lt;&gt;"))</f>
        <v/>
      </c>
      <c r="BB16" t="str">
        <f>IF(COUNTIF(BB$3:BB15, "&lt;&gt;")=0, "", COUNTIF(BB$3:BB15, "&lt;&gt;"))</f>
        <v/>
      </c>
      <c r="BG16" t="str">
        <f>IF(COUNTIF(BG$3:BG15, "&lt;&gt;")=0, "", COUNTIF(BG$3:BG15, "&lt;&gt;"))</f>
        <v/>
      </c>
      <c r="BL16" t="str">
        <f>IF(COUNTIF(BL$3:BL15, "&lt;&gt;")=0, "", COUNTIF(BL$3:BL15, "&lt;&gt;"))</f>
        <v/>
      </c>
      <c r="BQ16" t="str">
        <f>IF(COUNTIF(BQ$3:BQ15, "&lt;&gt;")=0, "", COUNTIF(BQ$3:BQ15, "&lt;&gt;"))</f>
        <v/>
      </c>
      <c r="BV16" t="str">
        <f>IF(COUNTIF(BV$3:BV15, "&lt;&gt;")=0, "", COUNTIF(BV$3:BV15, "&lt;&gt;"))</f>
        <v/>
      </c>
      <c r="CA16" t="str">
        <f>IF(COUNTIF(CA$3:CA15, "&lt;&gt;")=0, "", COUNTIF(CA$3:CA15, "&lt;&gt;"))</f>
        <v/>
      </c>
      <c r="CF16" t="str">
        <f>IF(COUNTIF(CF$3:CF15, "&lt;&gt;")=0, "", COUNTIF(CF$3:CF15, "&lt;&gt;"))</f>
        <v/>
      </c>
      <c r="CK16" t="str">
        <f>IF(COUNTIF(CK$3:CK15, "&lt;&gt;")=0, "", COUNTIF(CK$3:CK15, "&lt;&gt;"))</f>
        <v/>
      </c>
      <c r="CP16" t="str">
        <f>IF(COUNTIF(CP$3:CP15, "&lt;&gt;")=0, "", COUNTIF(CP$3:CP15, "&lt;&gt;"))</f>
        <v/>
      </c>
      <c r="CU16" t="str">
        <f>IF(COUNTIF(CU$3:CU15, "&lt;&gt;")=0, "", COUNTIF(CU$3:CU15, "&lt;&gt;"))</f>
        <v/>
      </c>
    </row>
    <row r="17" spans="2:3" x14ac:dyDescent="0.3">
      <c r="B17" t="str">
        <f>IF(A17="","",_xlfn.XLOOKUP(A17,Tab_base[Nom + Prénom],Tab_base[Puce], ""))</f>
        <v/>
      </c>
      <c r="C17" t="str">
        <f>IF(A17="","",_xlfn.XLOOKUP(A17,Tab_base[Nom + Prénom],Tab_base[Court],""))</f>
        <v/>
      </c>
    </row>
    <row r="18" spans="2:3" x14ac:dyDescent="0.3">
      <c r="B18" t="str">
        <f>IF(A18="","",_xlfn.XLOOKUP(A18,Tab_base[Nom + Prénom],Tab_base[Puce], ""))</f>
        <v/>
      </c>
      <c r="C18" t="str">
        <f>IF(A18="","",_xlfn.XLOOKUP(A18,Tab_base[Nom + Prénom],Tab_base[Court],""))</f>
        <v/>
      </c>
    </row>
    <row r="19" spans="2:3" x14ac:dyDescent="0.3">
      <c r="B19" t="str">
        <f>IF(A19="","",_xlfn.XLOOKUP(A19,Tab_base[Nom + Prénom],Tab_base[Puce], ""))</f>
        <v/>
      </c>
      <c r="C19" t="str">
        <f>IF(A19="","",_xlfn.XLOOKUP(A19,Tab_base[Nom + Prénom],Tab_base[Court],""))</f>
        <v/>
      </c>
    </row>
    <row r="20" spans="2:3" x14ac:dyDescent="0.3">
      <c r="B20" t="str">
        <f>IF(A20="","",_xlfn.XLOOKUP(A20,Tab_base[Nom + Prénom],Tab_base[Puce], ""))</f>
        <v/>
      </c>
      <c r="C20" t="str">
        <f>IF(A20="","",_xlfn.XLOOKUP(A20,Tab_base[Nom + Prénom],Tab_base[Court],""))</f>
        <v/>
      </c>
    </row>
    <row r="21" spans="2:3" x14ac:dyDescent="0.3">
      <c r="B21" t="str">
        <f>IF(A21="","",_xlfn.XLOOKUP(A21,Tab_base[Nom + Prénom],Tab_base[Puce], ""))</f>
        <v/>
      </c>
      <c r="C21" t="str">
        <f>IF(A21="","",_xlfn.XLOOKUP(A21,Tab_base[Nom + Prénom],Tab_base[Court],""))</f>
        <v/>
      </c>
    </row>
    <row r="22" spans="2:3" x14ac:dyDescent="0.3">
      <c r="B22" t="str">
        <f>IF(A22="","",_xlfn.XLOOKUP(A22,Tab_base[Nom + Prénom],Tab_base[Puce], ""))</f>
        <v/>
      </c>
      <c r="C22" t="str">
        <f>IF(A22="","",_xlfn.XLOOKUP(A22,Tab_base[Nom + Prénom],Tab_base[Court],""))</f>
        <v/>
      </c>
    </row>
    <row r="23" spans="2:3" x14ac:dyDescent="0.3">
      <c r="B23" t="str">
        <f>IF(A23="","",_xlfn.XLOOKUP(A23,Tab_base[Nom + Prénom],Tab_base[Puce], ""))</f>
        <v/>
      </c>
      <c r="C23" t="str">
        <f>IF(A23="","",_xlfn.XLOOKUP(A23,Tab_base[Nom + Prénom],Tab_base[Court],""))</f>
        <v/>
      </c>
    </row>
    <row r="24" spans="2:3" x14ac:dyDescent="0.3">
      <c r="B24" t="str">
        <f>IF(A24="","",_xlfn.XLOOKUP(A24,Tab_base[Nom + Prénom],Tab_base[Puce], ""))</f>
        <v/>
      </c>
      <c r="C24" t="str">
        <f>IF(A24="","",_xlfn.XLOOKUP(A24,Tab_base[Nom + Prénom],Tab_base[Court],""))</f>
        <v/>
      </c>
    </row>
    <row r="25" spans="2:3" x14ac:dyDescent="0.3">
      <c r="B25" t="str">
        <f>IF(A25="","",_xlfn.XLOOKUP(A25,Tab_base[Nom + Prénom],Tab_base[Puce], ""))</f>
        <v/>
      </c>
      <c r="C25" t="str">
        <f>IF(A25="","",_xlfn.XLOOKUP(A25,Tab_base[Nom + Prénom],Tab_base[Court],""))</f>
        <v/>
      </c>
    </row>
    <row r="26" spans="2:3" x14ac:dyDescent="0.3">
      <c r="B26" t="str">
        <f>IF(A26="","",_xlfn.XLOOKUP(A26,Tab_base[Nom + Prénom],Tab_base[Puce], ""))</f>
        <v/>
      </c>
      <c r="C26" t="str">
        <f>IF(A26="","",_xlfn.XLOOKUP(A26,Tab_base[Nom + Prénom],Tab_base[Court],""))</f>
        <v/>
      </c>
    </row>
    <row r="27" spans="2:3" x14ac:dyDescent="0.3">
      <c r="B27" t="str">
        <f>IF(A27="","",_xlfn.XLOOKUP(A27,Tab_base[Nom + Prénom],Tab_base[Puce], ""))</f>
        <v/>
      </c>
      <c r="C27" t="str">
        <f>IF(A27="","",_xlfn.XLOOKUP(A27,Tab_base[Nom + Prénom],Tab_base[Court],""))</f>
        <v/>
      </c>
    </row>
    <row r="28" spans="2:3" x14ac:dyDescent="0.3">
      <c r="B28" t="str">
        <f>IF(A28="","",_xlfn.XLOOKUP(A28,Tab_base[Nom + Prénom],Tab_base[Puce], ""))</f>
        <v/>
      </c>
      <c r="C28" t="str">
        <f>IF(A28="","",_xlfn.XLOOKUP(A28,Tab_base[Nom + Prénom],Tab_base[Court],""))</f>
        <v/>
      </c>
    </row>
    <row r="29" spans="2:3" x14ac:dyDescent="0.3">
      <c r="B29" t="str">
        <f>IF(A29="","",_xlfn.XLOOKUP(A29,Tab_base[Nom + Prénom],Tab_base[Puce], ""))</f>
        <v/>
      </c>
      <c r="C29" t="str">
        <f>IF(A29="","",_xlfn.XLOOKUP(A29,Tab_base[Nom + Prénom],Tab_base[Court],""))</f>
        <v/>
      </c>
    </row>
    <row r="30" spans="2:3" x14ac:dyDescent="0.3">
      <c r="B30" t="str">
        <f>IF(A30="","",_xlfn.XLOOKUP(A30,Tab_base[Nom + Prénom],Tab_base[Puce], ""))</f>
        <v/>
      </c>
      <c r="C30" t="str">
        <f>IF(A30="","",_xlfn.XLOOKUP(A30,Tab_base[Nom + Prénom],Tab_base[Court],""))</f>
        <v/>
      </c>
    </row>
    <row r="31" spans="2:3" x14ac:dyDescent="0.3">
      <c r="B31" t="str">
        <f>IF(A31="","",_xlfn.XLOOKUP(A31,Tab_base[Nom + Prénom],Tab_base[Puce], ""))</f>
        <v/>
      </c>
      <c r="C31" t="str">
        <f>IF(A31="","",_xlfn.XLOOKUP(A31,Tab_base[Nom + Prénom],Tab_base[Court],""))</f>
        <v/>
      </c>
    </row>
    <row r="32" spans="2:3" x14ac:dyDescent="0.3">
      <c r="B32" t="str">
        <f>IF(A32="","",_xlfn.XLOOKUP(A32,Tab_base[Nom + Prénom],Tab_base[Puce], ""))</f>
        <v/>
      </c>
      <c r="C32" t="str">
        <f>IF(A32="","",_xlfn.XLOOKUP(A32,Tab_base[Nom + Prénom],Tab_base[Court],""))</f>
        <v/>
      </c>
    </row>
    <row r="33" spans="2:3" x14ac:dyDescent="0.3">
      <c r="B33" t="str">
        <f>IF(A33="","",_xlfn.XLOOKUP(A33,Tab_base[Nom + Prénom],Tab_base[Puce], ""))</f>
        <v/>
      </c>
      <c r="C33" t="str">
        <f>IF(A33="","",_xlfn.XLOOKUP(A33,Tab_base[Nom + Prénom],Tab_base[Court],""))</f>
        <v/>
      </c>
    </row>
    <row r="34" spans="2:3" x14ac:dyDescent="0.3">
      <c r="B34" t="str">
        <f>IF(A34="","",_xlfn.XLOOKUP(A34,Tab_base[Nom + Prénom],Tab_base[Puce], ""))</f>
        <v/>
      </c>
      <c r="C34" t="str">
        <f>IF(A34="","",_xlfn.XLOOKUP(A34,Tab_base[Nom + Prénom],Tab_base[Court],""))</f>
        <v/>
      </c>
    </row>
    <row r="35" spans="2:3" x14ac:dyDescent="0.3">
      <c r="B35" t="str">
        <f>IF(A35="","",_xlfn.XLOOKUP(A35,Tab_base[Nom + Prénom],Tab_base[Puce], ""))</f>
        <v/>
      </c>
      <c r="C35" t="str">
        <f>IF(A35="","",_xlfn.XLOOKUP(A35,Tab_base[Nom + Prénom],Tab_base[Court],""))</f>
        <v/>
      </c>
    </row>
    <row r="36" spans="2:3" x14ac:dyDescent="0.3">
      <c r="B36" t="str">
        <f>IF(A36="","",_xlfn.XLOOKUP(A36,Tab_base[Nom + Prénom],Tab_base[Puce], ""))</f>
        <v/>
      </c>
      <c r="C36" t="str">
        <f>IF(A36="","",_xlfn.XLOOKUP(A36,Tab_base[Nom + Prénom],Tab_base[Court],""))</f>
        <v/>
      </c>
    </row>
    <row r="37" spans="2:3" x14ac:dyDescent="0.3">
      <c r="B37" t="str">
        <f>IF(A37="","",_xlfn.XLOOKUP(A37,Tab_base[Nom + Prénom],Tab_base[Puce], ""))</f>
        <v/>
      </c>
      <c r="C37" t="str">
        <f>IF(A37="","",_xlfn.XLOOKUP(A37,Tab_base[Nom + Prénom],Tab_base[Court],""))</f>
        <v/>
      </c>
    </row>
    <row r="38" spans="2:3" x14ac:dyDescent="0.3">
      <c r="B38" t="str">
        <f>IF(A38="","",_xlfn.XLOOKUP(A38,Tab_base[Nom + Prénom],Tab_base[Puce], ""))</f>
        <v/>
      </c>
      <c r="C38" t="str">
        <f>IF(A38="","",_xlfn.XLOOKUP(A38,Tab_base[Nom + Prénom],Tab_base[Court],""))</f>
        <v/>
      </c>
    </row>
    <row r="39" spans="2:3" x14ac:dyDescent="0.3">
      <c r="B39" t="str">
        <f>IF(A39="","",_xlfn.XLOOKUP(A39,Tab_base[Nom + Prénom],Tab_base[Puce], ""))</f>
        <v/>
      </c>
      <c r="C39" t="str">
        <f>IF(A39="","",_xlfn.XLOOKUP(A39,Tab_base[Nom + Prénom],Tab_base[Court],""))</f>
        <v/>
      </c>
    </row>
    <row r="40" spans="2:3" x14ac:dyDescent="0.3">
      <c r="B40" t="str">
        <f>IF(A40="","",_xlfn.XLOOKUP(A40,Tab_base[Nom + Prénom],Tab_base[Puce], ""))</f>
        <v/>
      </c>
      <c r="C40" t="str">
        <f>IF(A40="","",_xlfn.XLOOKUP(A40,Tab_base[Nom + Prénom],Tab_base[Court],""))</f>
        <v/>
      </c>
    </row>
    <row r="41" spans="2:3" x14ac:dyDescent="0.3">
      <c r="B41" t="str">
        <f>IF(A41="","",_xlfn.XLOOKUP(A41,Tab_base[Nom + Prénom],Tab_base[Puce], ""))</f>
        <v/>
      </c>
      <c r="C41" t="str">
        <f>IF(A41="","",_xlfn.XLOOKUP(A41,Tab_base[Nom + Prénom],Tab_base[Court],""))</f>
        <v/>
      </c>
    </row>
    <row r="42" spans="2:3" x14ac:dyDescent="0.3">
      <c r="B42" t="str">
        <f>IF(A42="","",_xlfn.XLOOKUP(A42,Tab_base[Nom + Prénom],Tab_base[Puce], ""))</f>
        <v/>
      </c>
      <c r="C42" t="str">
        <f>IF(A42="","",_xlfn.XLOOKUP(A42,Tab_base[Nom + Prénom],Tab_base[Court],""))</f>
        <v/>
      </c>
    </row>
    <row r="43" spans="2:3" x14ac:dyDescent="0.3">
      <c r="B43" t="str">
        <f>IF(A43="","",_xlfn.XLOOKUP(A43,Tab_base[Nom + Prénom],Tab_base[Puce], ""))</f>
        <v/>
      </c>
      <c r="C43" t="str">
        <f>IF(A43="","",_xlfn.XLOOKUP(A43,Tab_base[Nom + Prénom],Tab_base[Court],""))</f>
        <v/>
      </c>
    </row>
    <row r="44" spans="2:3" x14ac:dyDescent="0.3">
      <c r="B44" t="str">
        <f>IF(A44="","",_xlfn.XLOOKUP(A44,Tab_base[Nom + Prénom],Tab_base[Puce], ""))</f>
        <v/>
      </c>
      <c r="C44" t="str">
        <f>IF(A44="","",_xlfn.XLOOKUP(A44,Tab_base[Nom + Prénom],Tab_base[Court],""))</f>
        <v/>
      </c>
    </row>
    <row r="45" spans="2:3" x14ac:dyDescent="0.3">
      <c r="B45" t="str">
        <f>IF(A45="","",_xlfn.XLOOKUP(A45,Tab_base[Nom + Prénom],Tab_base[Puce], ""))</f>
        <v/>
      </c>
      <c r="C45" t="str">
        <f>IF(A45="","",_xlfn.XLOOKUP(A45,Tab_base[Nom + Prénom],Tab_base[Court],""))</f>
        <v/>
      </c>
    </row>
    <row r="46" spans="2:3" x14ac:dyDescent="0.3">
      <c r="B46" t="str">
        <f>IF(A46="","",_xlfn.XLOOKUP(A46,Tab_base[Nom + Prénom],Tab_base[Puce], ""))</f>
        <v/>
      </c>
      <c r="C46" t="str">
        <f>IF(A46="","",_xlfn.XLOOKUP(A46,Tab_base[Nom + Prénom],Tab_base[Court],""))</f>
        <v/>
      </c>
    </row>
    <row r="47" spans="2:3" x14ac:dyDescent="0.3">
      <c r="B47" t="str">
        <f>IF(A47="","",_xlfn.XLOOKUP(A47,Tab_base[Nom + Prénom],Tab_base[Puce], ""))</f>
        <v/>
      </c>
      <c r="C47" t="str">
        <f>IF(A47="","",_xlfn.XLOOKUP(A47,Tab_base[Nom + Prénom],Tab_base[Court],""))</f>
        <v/>
      </c>
    </row>
    <row r="48" spans="2:3" x14ac:dyDescent="0.3">
      <c r="B48" t="str">
        <f>IF(A48="","",_xlfn.XLOOKUP(A48,Tab_base[Nom + Prénom],Tab_base[Puce], ""))</f>
        <v/>
      </c>
      <c r="C48" t="str">
        <f>IF(A48="","",_xlfn.XLOOKUP(A48,Tab_base[Nom + Prénom],Tab_base[Court],""))</f>
        <v/>
      </c>
    </row>
    <row r="49" spans="2:3" x14ac:dyDescent="0.3">
      <c r="B49" t="str">
        <f>IF(A49="","",_xlfn.XLOOKUP(A49,Tab_base[Nom + Prénom],Tab_base[Puce], ""))</f>
        <v/>
      </c>
      <c r="C49" t="str">
        <f>IF(A49="","",_xlfn.XLOOKUP(A49,Tab_base[Nom + Prénom],Tab_base[Court],""))</f>
        <v/>
      </c>
    </row>
    <row r="50" spans="2:3" x14ac:dyDescent="0.3">
      <c r="B50" t="str">
        <f>IF(A50="","",_xlfn.XLOOKUP(A50,Tab_base[Nom + Prénom],Tab_base[Puce], ""))</f>
        <v/>
      </c>
      <c r="C50" t="str">
        <f>IF(A50="","",_xlfn.XLOOKUP(A50,Tab_base[Nom + Prénom],Tab_base[Court],""))</f>
        <v/>
      </c>
    </row>
    <row r="51" spans="2:3" x14ac:dyDescent="0.3">
      <c r="B51" t="str">
        <f>IF(A51="","",_xlfn.XLOOKUP(A51,Tab_base[Nom + Prénom],Tab_base[Puce], ""))</f>
        <v/>
      </c>
      <c r="C51" t="str">
        <f>IF(A51="","",_xlfn.XLOOKUP(A51,Tab_base[Nom + Prénom],Tab_base[Court],""))</f>
        <v/>
      </c>
    </row>
    <row r="52" spans="2:3" x14ac:dyDescent="0.3">
      <c r="B52" t="str">
        <f>IF(A52="","",_xlfn.XLOOKUP(A52,Tab_base[Nom + Prénom],Tab_base[Puce], ""))</f>
        <v/>
      </c>
      <c r="C52" t="str">
        <f>IF(A52="","",_xlfn.XLOOKUP(A52,Tab_base[Nom + Prénom],Tab_base[Court],""))</f>
        <v/>
      </c>
    </row>
    <row r="53" spans="2:3" x14ac:dyDescent="0.3">
      <c r="B53" t="str">
        <f>IF(A53="","",_xlfn.XLOOKUP(A53,Tab_base[Nom + Prénom],Tab_base[Puce], ""))</f>
        <v/>
      </c>
      <c r="C53" t="str">
        <f>IF(A53="","",_xlfn.XLOOKUP(A53,Tab_base[Nom + Prénom],Tab_base[Court],""))</f>
        <v/>
      </c>
    </row>
    <row r="54" spans="2:3" x14ac:dyDescent="0.3">
      <c r="B54" t="str">
        <f>IF(A54="","",_xlfn.XLOOKUP(A54,Tab_base[Nom + Prénom],Tab_base[Puce], ""))</f>
        <v/>
      </c>
      <c r="C54" t="str">
        <f>IF(A54="","",_xlfn.XLOOKUP(A54,Tab_base[Nom + Prénom],Tab_base[Court],""))</f>
        <v/>
      </c>
    </row>
    <row r="55" spans="2:3" x14ac:dyDescent="0.3">
      <c r="B55" t="str">
        <f>IF(A55="","",_xlfn.XLOOKUP(A55,Tab_base[Nom + Prénom],Tab_base[Puce], ""))</f>
        <v/>
      </c>
      <c r="C55" t="str">
        <f>IF(A55="","",_xlfn.XLOOKUP(A55,Tab_base[Nom + Prénom],Tab_base[Court],""))</f>
        <v/>
      </c>
    </row>
    <row r="56" spans="2:3" x14ac:dyDescent="0.3">
      <c r="B56" t="str">
        <f>IF(A56="","",_xlfn.XLOOKUP(A56,Tab_base[Nom + Prénom],Tab_base[Puce], ""))</f>
        <v/>
      </c>
      <c r="C56" t="str">
        <f>IF(A56="","",_xlfn.XLOOKUP(A56,Tab_base[Nom + Prénom],Tab_base[Court],""))</f>
        <v/>
      </c>
    </row>
    <row r="57" spans="2:3" x14ac:dyDescent="0.3">
      <c r="B57" t="str">
        <f>IF(A57="","",_xlfn.XLOOKUP(A57,Tab_base[Nom + Prénom],Tab_base[Puce], ""))</f>
        <v/>
      </c>
      <c r="C57" t="str">
        <f>IF(A57="","",_xlfn.XLOOKUP(A57,Tab_base[Nom + Prénom],Tab_base[Court],""))</f>
        <v/>
      </c>
    </row>
    <row r="58" spans="2:3" x14ac:dyDescent="0.3">
      <c r="B58" t="str">
        <f>IF(A58="","",_xlfn.XLOOKUP(A58,Tab_base[Nom + Prénom],Tab_base[Puce], ""))</f>
        <v/>
      </c>
      <c r="C58" t="str">
        <f>IF(A58="","",_xlfn.XLOOKUP(A58,Tab_base[Nom + Prénom],Tab_base[Court],""))</f>
        <v/>
      </c>
    </row>
    <row r="59" spans="2:3" x14ac:dyDescent="0.3">
      <c r="B59" t="str">
        <f>IF(A59="","",_xlfn.XLOOKUP(A59,Tab_base[Nom + Prénom],Tab_base[Puce], ""))</f>
        <v/>
      </c>
      <c r="C59" t="str">
        <f>IF(A59="","",_xlfn.XLOOKUP(A59,Tab_base[Nom + Prénom],Tab_base[Court],""))</f>
        <v/>
      </c>
    </row>
    <row r="60" spans="2:3" x14ac:dyDescent="0.3">
      <c r="B60" t="str">
        <f>IF(A60="","",_xlfn.XLOOKUP(A60,Tab_base[Nom + Prénom],Tab_base[Puce], ""))</f>
        <v/>
      </c>
      <c r="C60" t="str">
        <f>IF(A60="","",_xlfn.XLOOKUP(A60,Tab_base[Nom + Prénom],Tab_base[Court],""))</f>
        <v/>
      </c>
    </row>
    <row r="61" spans="2:3" x14ac:dyDescent="0.3">
      <c r="B61" t="str">
        <f>IF(A61="","",_xlfn.XLOOKUP(A61,Tab_base[Nom + Prénom],Tab_base[Puce], ""))</f>
        <v/>
      </c>
      <c r="C61" t="str">
        <f>IF(A61="","",_xlfn.XLOOKUP(A61,Tab_base[Nom + Prénom],Tab_base[Court],""))</f>
        <v/>
      </c>
    </row>
    <row r="62" spans="2:3" x14ac:dyDescent="0.3">
      <c r="B62" t="str">
        <f>IF(A62="","",_xlfn.XLOOKUP(A62,Tab_base[Nom + Prénom],Tab_base[Puce], ""))</f>
        <v/>
      </c>
      <c r="C62" t="str">
        <f>IF(A62="","",_xlfn.XLOOKUP(A62,Tab_base[Nom + Prénom],Tab_base[Court],""))</f>
        <v/>
      </c>
    </row>
    <row r="63" spans="2:3" x14ac:dyDescent="0.3">
      <c r="B63" t="str">
        <f>IF(A63="","",_xlfn.XLOOKUP(A63,Tab_base[Nom + Prénom],Tab_base[Puce], ""))</f>
        <v/>
      </c>
      <c r="C63" t="str">
        <f>IF(A63="","",_xlfn.XLOOKUP(A63,Tab_base[Nom + Prénom],Tab_base[Court],""))</f>
        <v/>
      </c>
    </row>
    <row r="64" spans="2:3" x14ac:dyDescent="0.3">
      <c r="B64" t="str">
        <f>IF(A64="","",_xlfn.XLOOKUP(A64,Tab_base[Nom + Prénom],Tab_base[Puce], ""))</f>
        <v/>
      </c>
      <c r="C64" t="str">
        <f>IF(A64="","",_xlfn.XLOOKUP(A64,Tab_base[Nom + Prénom],Tab_base[Court],""))</f>
        <v/>
      </c>
    </row>
    <row r="65" spans="2:3" x14ac:dyDescent="0.3">
      <c r="B65" t="str">
        <f>IF(A65="","",_xlfn.XLOOKUP(A65,Tab_base[Nom + Prénom],Tab_base[Puce], ""))</f>
        <v/>
      </c>
      <c r="C65" t="str">
        <f>IF(A65="","",_xlfn.XLOOKUP(A65,Tab_base[Nom + Prénom],Tab_base[Court],""))</f>
        <v/>
      </c>
    </row>
    <row r="66" spans="2:3" x14ac:dyDescent="0.3">
      <c r="B66" t="str">
        <f>IF(A66="","",_xlfn.XLOOKUP(A66,Tab_base[Nom + Prénom],Tab_base[Puce], ""))</f>
        <v/>
      </c>
      <c r="C66" t="str">
        <f>IF(A66="","",_xlfn.XLOOKUP(A66,Tab_base[Nom + Prénom],Tab_base[Court],""))</f>
        <v/>
      </c>
    </row>
    <row r="67" spans="2:3" x14ac:dyDescent="0.3">
      <c r="B67" t="str">
        <f>IF(A67="","",_xlfn.XLOOKUP(A67,Tab_base[Nom + Prénom],Tab_base[Puce], ""))</f>
        <v/>
      </c>
      <c r="C67" t="str">
        <f>IF(A67="","",_xlfn.XLOOKUP(A67,Tab_base[Nom + Prénom],Tab_base[Court],""))</f>
        <v/>
      </c>
    </row>
    <row r="68" spans="2:3" x14ac:dyDescent="0.3">
      <c r="B68" t="str">
        <f>IF(A68="","",_xlfn.XLOOKUP(A68,Tab_base[Nom + Prénom],Tab_base[Puce], ""))</f>
        <v/>
      </c>
      <c r="C68" t="str">
        <f>IF(A68="","",_xlfn.XLOOKUP(A68,Tab_base[Nom + Prénom],Tab_base[Court],""))</f>
        <v/>
      </c>
    </row>
    <row r="69" spans="2:3" x14ac:dyDescent="0.3">
      <c r="B69" t="str">
        <f>IF(A69="","",_xlfn.XLOOKUP(A69,Tab_base[Nom + Prénom],Tab_base[Puce], ""))</f>
        <v/>
      </c>
      <c r="C69" t="str">
        <f>IF(A69="","",_xlfn.XLOOKUP(A69,Tab_base[Nom + Prénom],Tab_base[Court],""))</f>
        <v/>
      </c>
    </row>
    <row r="70" spans="2:3" x14ac:dyDescent="0.3">
      <c r="B70" t="str">
        <f>IF(A70="","",_xlfn.XLOOKUP(A70,Tab_base[Nom + Prénom],Tab_base[Puce], ""))</f>
        <v/>
      </c>
      <c r="C70" t="str">
        <f>IF(A70="","",_xlfn.XLOOKUP(A70,Tab_base[Nom + Prénom],Tab_base[Court],""))</f>
        <v/>
      </c>
    </row>
    <row r="71" spans="2:3" x14ac:dyDescent="0.3">
      <c r="B71" t="str">
        <f>IF(A71="","",_xlfn.XLOOKUP(A71,Tab_base[Nom + Prénom],Tab_base[Puce], ""))</f>
        <v/>
      </c>
      <c r="C71" t="str">
        <f>IF(A71="","",_xlfn.XLOOKUP(A71,Tab_base[Nom + Prénom],Tab_base[Court],""))</f>
        <v/>
      </c>
    </row>
    <row r="72" spans="2:3" x14ac:dyDescent="0.3">
      <c r="B72" t="str">
        <f>IF(A72="","",_xlfn.XLOOKUP(A72,Tab_base[Nom + Prénom],Tab_base[Puce], ""))</f>
        <v/>
      </c>
      <c r="C72" t="str">
        <f>IF(A72="","",_xlfn.XLOOKUP(A72,Tab_base[Nom + Prénom],Tab_base[Court],""))</f>
        <v/>
      </c>
    </row>
    <row r="73" spans="2:3" x14ac:dyDescent="0.3">
      <c r="B73" t="str">
        <f>IF(A73="","",_xlfn.XLOOKUP(A73,Tab_base[Nom + Prénom],Tab_base[Puce], ""))</f>
        <v/>
      </c>
      <c r="C73" t="str">
        <f>IF(A73="","",_xlfn.XLOOKUP(A73,Tab_base[Nom + Prénom],Tab_base[Court],""))</f>
        <v/>
      </c>
    </row>
    <row r="74" spans="2:3" x14ac:dyDescent="0.3">
      <c r="B74" t="str">
        <f>IF(A74="","",_xlfn.XLOOKUP(A74,Tab_base[Nom + Prénom],Tab_base[Puce], ""))</f>
        <v/>
      </c>
      <c r="C74" t="str">
        <f>IF(A74="","",_xlfn.XLOOKUP(A74,Tab_base[Nom + Prénom],Tab_base[Court],""))</f>
        <v/>
      </c>
    </row>
    <row r="75" spans="2:3" x14ac:dyDescent="0.3">
      <c r="B75" t="str">
        <f>IF(A75="","",_xlfn.XLOOKUP(A75,Tab_base[Nom + Prénom],Tab_base[Puce], ""))</f>
        <v/>
      </c>
      <c r="C75" t="str">
        <f>IF(A75="","",_xlfn.XLOOKUP(A75,Tab_base[Nom + Prénom],Tab_base[Court],""))</f>
        <v/>
      </c>
    </row>
    <row r="76" spans="2:3" x14ac:dyDescent="0.3">
      <c r="B76" t="str">
        <f>IF(A76="","",_xlfn.XLOOKUP(A76,Tab_base[Nom + Prénom],Tab_base[Puce], ""))</f>
        <v/>
      </c>
      <c r="C76" t="str">
        <f>IF(A76="","",_xlfn.XLOOKUP(A76,Tab_base[Nom + Prénom],Tab_base[Court],""))</f>
        <v/>
      </c>
    </row>
    <row r="77" spans="2:3" x14ac:dyDescent="0.3">
      <c r="B77" t="str">
        <f>IF(A77="","",_xlfn.XLOOKUP(A77,Tab_base[Nom + Prénom],Tab_base[Puce], ""))</f>
        <v/>
      </c>
      <c r="C77" t="str">
        <f>IF(A77="","",_xlfn.XLOOKUP(A77,Tab_base[Nom + Prénom],Tab_base[Court],""))</f>
        <v/>
      </c>
    </row>
    <row r="78" spans="2:3" x14ac:dyDescent="0.3">
      <c r="B78" t="str">
        <f>IF(A78="","",_xlfn.XLOOKUP(A78,Tab_base[Nom + Prénom],Tab_base[Puce], ""))</f>
        <v/>
      </c>
      <c r="C78" t="str">
        <f>IF(A78="","",_xlfn.XLOOKUP(A78,Tab_base[Nom + Prénom],Tab_base[Court],""))</f>
        <v/>
      </c>
    </row>
    <row r="79" spans="2:3" x14ac:dyDescent="0.3">
      <c r="B79" t="str">
        <f>IF(A79="","",_xlfn.XLOOKUP(A79,Tab_base[Nom + Prénom],Tab_base[Puce], ""))</f>
        <v/>
      </c>
      <c r="C79" t="str">
        <f>IF(A79="","",_xlfn.XLOOKUP(A79,Tab_base[Nom + Prénom],Tab_base[Court],""))</f>
        <v/>
      </c>
    </row>
    <row r="80" spans="2:3" x14ac:dyDescent="0.3">
      <c r="B80" t="str">
        <f>IF(A80="","",_xlfn.XLOOKUP(A80,Tab_base[Nom + Prénom],Tab_base[Puce], ""))</f>
        <v/>
      </c>
      <c r="C80" t="str">
        <f>IF(A80="","",_xlfn.XLOOKUP(A80,Tab_base[Nom + Prénom],Tab_base[Court],""))</f>
        <v/>
      </c>
    </row>
    <row r="81" spans="2:3" x14ac:dyDescent="0.3">
      <c r="B81" t="str">
        <f>IF(A81="","",_xlfn.XLOOKUP(A81,Tab_base[Nom + Prénom],Tab_base[Puce], ""))</f>
        <v/>
      </c>
      <c r="C81" t="str">
        <f>IF(A81="","",_xlfn.XLOOKUP(A81,Tab_base[Nom + Prénom],Tab_base[Court],""))</f>
        <v/>
      </c>
    </row>
    <row r="82" spans="2:3" x14ac:dyDescent="0.3">
      <c r="B82" t="str">
        <f>IF(A82="","",_xlfn.XLOOKUP(A82,Tab_base[Nom + Prénom],Tab_base[Puce], ""))</f>
        <v/>
      </c>
      <c r="C82" t="str">
        <f>IF(A82="","",_xlfn.XLOOKUP(A82,Tab_base[Nom + Prénom],Tab_base[Court],""))</f>
        <v/>
      </c>
    </row>
    <row r="83" spans="2:3" x14ac:dyDescent="0.3">
      <c r="B83" t="str">
        <f>IF(A83="","",_xlfn.XLOOKUP(A83,Tab_base[Nom + Prénom],Tab_base[Puce], ""))</f>
        <v/>
      </c>
      <c r="C83" t="str">
        <f>IF(A83="","",_xlfn.XLOOKUP(A83,Tab_base[Nom + Prénom],Tab_base[Court],""))</f>
        <v/>
      </c>
    </row>
    <row r="84" spans="2:3" x14ac:dyDescent="0.3">
      <c r="B84" t="str">
        <f>IF(A84="","",_xlfn.XLOOKUP(A84,Tab_base[Nom + Prénom],Tab_base[Puce], ""))</f>
        <v/>
      </c>
      <c r="C84" t="str">
        <f>IF(A84="","",_xlfn.XLOOKUP(A84,Tab_base[Nom + Prénom],Tab_base[Court],""))</f>
        <v/>
      </c>
    </row>
    <row r="85" spans="2:3" x14ac:dyDescent="0.3">
      <c r="B85" t="str">
        <f>IF(A85="","",_xlfn.XLOOKUP(A85,Tab_base[Nom + Prénom],Tab_base[Puce], ""))</f>
        <v/>
      </c>
      <c r="C85" t="str">
        <f>IF(A85="","",_xlfn.XLOOKUP(A85,Tab_base[Nom + Prénom],Tab_base[Court],""))</f>
        <v/>
      </c>
    </row>
    <row r="86" spans="2:3" x14ac:dyDescent="0.3">
      <c r="B86" t="str">
        <f>IF(A86="","",_xlfn.XLOOKUP(A86,Tab_base[Nom + Prénom],Tab_base[Puce], ""))</f>
        <v/>
      </c>
      <c r="C86" t="str">
        <f>IF(A86="","",_xlfn.XLOOKUP(A86,Tab_base[Nom + Prénom],Tab_base[Court],""))</f>
        <v/>
      </c>
    </row>
    <row r="87" spans="2:3" x14ac:dyDescent="0.3">
      <c r="B87" t="str">
        <f>IF(A87="","",_xlfn.XLOOKUP(A87,Tab_base[Nom + Prénom],Tab_base[Puce], ""))</f>
        <v/>
      </c>
      <c r="C87" t="str">
        <f>IF(A87="","",_xlfn.XLOOKUP(A87,Tab_base[Nom + Prénom],Tab_base[Court],""))</f>
        <v/>
      </c>
    </row>
    <row r="88" spans="2:3" x14ac:dyDescent="0.3">
      <c r="B88" t="str">
        <f>IF(A88="","",_xlfn.XLOOKUP(A88,Tab_base[Nom + Prénom],Tab_base[Puce], ""))</f>
        <v/>
      </c>
      <c r="C88" t="str">
        <f>IF(A88="","",_xlfn.XLOOKUP(A88,Tab_base[Nom + Prénom],Tab_base[Court],""))</f>
        <v/>
      </c>
    </row>
    <row r="89" spans="2:3" x14ac:dyDescent="0.3">
      <c r="B89" t="str">
        <f>IF(A89="","",_xlfn.XLOOKUP(A89,Tab_base[Nom + Prénom],Tab_base[Puce], ""))</f>
        <v/>
      </c>
      <c r="C89" t="str">
        <f>IF(A89="","",_xlfn.XLOOKUP(A89,Tab_base[Nom + Prénom],Tab_base[Court],""))</f>
        <v/>
      </c>
    </row>
    <row r="90" spans="2:3" x14ac:dyDescent="0.3">
      <c r="B90" t="str">
        <f>IF(A90="","",_xlfn.XLOOKUP(A90,Tab_base[Nom + Prénom],Tab_base[Puce], ""))</f>
        <v/>
      </c>
      <c r="C90" t="str">
        <f>IF(A90="","",_xlfn.XLOOKUP(A90,Tab_base[Nom + Prénom],Tab_base[Court],""))</f>
        <v/>
      </c>
    </row>
    <row r="91" spans="2:3" x14ac:dyDescent="0.3">
      <c r="B91" t="str">
        <f>IF(A91="","",_xlfn.XLOOKUP(A91,Tab_base[Nom + Prénom],Tab_base[Puce], ""))</f>
        <v/>
      </c>
      <c r="C91" t="str">
        <f>IF(A91="","",_xlfn.XLOOKUP(A91,Tab_base[Nom + Prénom],Tab_base[Court],""))</f>
        <v/>
      </c>
    </row>
    <row r="92" spans="2:3" x14ac:dyDescent="0.3">
      <c r="B92" t="str">
        <f>IF(A92="","",_xlfn.XLOOKUP(A92,Tab_base[Nom + Prénom],Tab_base[Puce], ""))</f>
        <v/>
      </c>
      <c r="C92" t="str">
        <f>IF(A92="","",_xlfn.XLOOKUP(A92,Tab_base[Nom + Prénom],Tab_base[Court],""))</f>
        <v/>
      </c>
    </row>
    <row r="93" spans="2:3" x14ac:dyDescent="0.3">
      <c r="B93" t="str">
        <f>IF(A93="","",_xlfn.XLOOKUP(A93,Tab_base[Nom + Prénom],Tab_base[Puce], ""))</f>
        <v/>
      </c>
      <c r="C93" t="str">
        <f>IF(A93="","",_xlfn.XLOOKUP(A93,Tab_base[Nom + Prénom],Tab_base[Court],""))</f>
        <v/>
      </c>
    </row>
    <row r="94" spans="2:3" x14ac:dyDescent="0.3">
      <c r="B94" t="str">
        <f>IF(A94="","",_xlfn.XLOOKUP(A94,Tab_base[Nom + Prénom],Tab_base[Puce], ""))</f>
        <v/>
      </c>
      <c r="C94" t="str">
        <f>IF(A94="","",_xlfn.XLOOKUP(A94,Tab_base[Nom + Prénom],Tab_base[Court],""))</f>
        <v/>
      </c>
    </row>
    <row r="95" spans="2:3" x14ac:dyDescent="0.3">
      <c r="B95" t="str">
        <f>IF(A95="","",_xlfn.XLOOKUP(A95,Tab_base[Nom + Prénom],Tab_base[Puce], ""))</f>
        <v/>
      </c>
      <c r="C95" t="str">
        <f>IF(A95="","",_xlfn.XLOOKUP(A95,Tab_base[Nom + Prénom],Tab_base[Court],""))</f>
        <v/>
      </c>
    </row>
    <row r="96" spans="2:3" x14ac:dyDescent="0.3">
      <c r="B96" t="str">
        <f>IF(A96="","",_xlfn.XLOOKUP(A96,Tab_base[Nom + Prénom],Tab_base[Puce], ""))</f>
        <v/>
      </c>
      <c r="C96" t="str">
        <f>IF(A96="","",_xlfn.XLOOKUP(A96,Tab_base[Nom + Prénom],Tab_base[Court],""))</f>
        <v/>
      </c>
    </row>
    <row r="97" spans="2:3" x14ac:dyDescent="0.3">
      <c r="B97" t="str">
        <f>IF(A97="","",_xlfn.XLOOKUP(A97,Tab_base[Nom + Prénom],Tab_base[Puce], ""))</f>
        <v/>
      </c>
      <c r="C97" t="str">
        <f>IF(A97="","",_xlfn.XLOOKUP(A97,Tab_base[Nom + Prénom],Tab_base[Court],""))</f>
        <v/>
      </c>
    </row>
    <row r="98" spans="2:3" x14ac:dyDescent="0.3">
      <c r="B98" t="str">
        <f>IF(A98="","",_xlfn.XLOOKUP(A98,Tab_base[Nom + Prénom],Tab_base[Puce], ""))</f>
        <v/>
      </c>
      <c r="C98" t="str">
        <f>IF(A98="","",_xlfn.XLOOKUP(A98,Tab_base[Nom + Prénom],Tab_base[Court],""))</f>
        <v/>
      </c>
    </row>
    <row r="99" spans="2:3" x14ac:dyDescent="0.3">
      <c r="B99" t="str">
        <f>IF(A99="","",_xlfn.XLOOKUP(A99,Tab_base[Nom + Prénom],Tab_base[Puce], ""))</f>
        <v/>
      </c>
      <c r="C99" t="str">
        <f>IF(A99="","",_xlfn.XLOOKUP(A99,Tab_base[Nom + Prénom],Tab_base[Court],""))</f>
        <v/>
      </c>
    </row>
    <row r="100" spans="2:3" x14ac:dyDescent="0.3">
      <c r="B100" t="str">
        <f>IF(A100="","",_xlfn.XLOOKUP(A100,Tab_base[Nom + Prénom],Tab_base[Puce], ""))</f>
        <v/>
      </c>
      <c r="C100" t="str">
        <f>IF(A100="","",_xlfn.XLOOKUP(A100,Tab_base[Nom + Prénom],Tab_base[Court],""))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E1605F-E825-4E0E-90A5-B35BF1FD0C32}">
          <x14:formula1>
            <xm:f>base!$Y$2:$Y$90</xm:f>
          </x14:formula1>
          <xm:sqref>A3:A100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ECC3-BE76-46A9-81A7-CC9CEDCBD64C}">
  <sheetPr codeName="Feuil3"/>
  <dimension ref="C2:E4"/>
  <sheetViews>
    <sheetView workbookViewId="0">
      <selection activeCell="C4" sqref="C4"/>
    </sheetView>
  </sheetViews>
  <sheetFormatPr baseColWidth="10" defaultRowHeight="14.4" x14ac:dyDescent="0.3"/>
  <cols>
    <col min="3" max="3" width="11.5546875" style="136"/>
  </cols>
  <sheetData>
    <row r="2" spans="3:5" x14ac:dyDescent="0.3">
      <c r="C2" s="136">
        <v>5.482638888888889E-2</v>
      </c>
      <c r="E2" s="2"/>
    </row>
    <row r="3" spans="3:5" x14ac:dyDescent="0.3">
      <c r="C3" s="136">
        <v>1.8159722222222219E-2</v>
      </c>
    </row>
    <row r="4" spans="3:5" x14ac:dyDescent="0.3">
      <c r="C4" s="136">
        <f>MOD(C2-C3,1)</f>
        <v>3.6666666666666667E-2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8702-70A7-4EA4-AF32-7C6E9E16E60B}">
  <sheetPr codeName="Feuil15"/>
  <dimension ref="A1:CY54"/>
  <sheetViews>
    <sheetView workbookViewId="0">
      <pane xSplit="3" ySplit="2" topLeftCell="E3" activePane="bottomRight" state="frozen"/>
      <selection pane="topRight" activeCell="D1" sqref="D1"/>
      <selection pane="bottomLeft" activeCell="A3" sqref="A3"/>
      <selection pane="bottomRight" activeCell="N1" sqref="N1:AR1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3" bestFit="1" customWidth="1"/>
    <col min="6" max="6" width="9.109375" style="5" bestFit="1" customWidth="1"/>
    <col min="7" max="7" width="5.77734375" bestFit="1" customWidth="1"/>
    <col min="8" max="8" width="8.109375" style="7" bestFit="1" customWidth="1"/>
    <col min="9" max="9" width="21.21875" bestFit="1" customWidth="1"/>
    <col min="10" max="10" width="6.109375" style="3" bestFit="1" customWidth="1"/>
    <col min="11" max="11" width="7.109375" style="5" bestFit="1" customWidth="1"/>
    <col min="12" max="12" width="5.77734375" bestFit="1" customWidth="1"/>
    <col min="13" max="13" width="6.5546875" style="7" bestFit="1" customWidth="1"/>
    <col min="14" max="14" width="30.21875" bestFit="1" customWidth="1"/>
    <col min="15" max="15" width="6.109375" style="3" bestFit="1" customWidth="1"/>
    <col min="16" max="16" width="7.109375" style="5" bestFit="1" customWidth="1"/>
    <col min="17" max="17" width="5.77734375" style="7" bestFit="1" customWidth="1"/>
    <col min="18" max="18" width="8.5546875" style="7" bestFit="1" customWidth="1"/>
    <col min="19" max="19" width="28.77734375" bestFit="1" customWidth="1"/>
    <col min="20" max="20" width="6.109375" style="3" bestFit="1" customWidth="1"/>
    <col min="21" max="21" width="7.109375" style="5" bestFit="1" customWidth="1"/>
    <col min="22" max="22" width="6.5546875" style="7" bestFit="1" customWidth="1"/>
    <col min="23" max="23" width="8.109375" style="7" bestFit="1" customWidth="1"/>
    <col min="24" max="24" width="26.33203125" bestFit="1" customWidth="1"/>
    <col min="25" max="25" width="6.109375" style="3" bestFit="1" customWidth="1"/>
    <col min="26" max="26" width="7.109375" style="5" bestFit="1" customWidth="1"/>
    <col min="27" max="27" width="4.5546875" bestFit="1" customWidth="1"/>
    <col min="28" max="28" width="6.77734375" style="7" bestFit="1" customWidth="1"/>
    <col min="29" max="29" width="27.77734375" bestFit="1" customWidth="1"/>
    <col min="30" max="30" width="6.109375" style="3" bestFit="1" customWidth="1"/>
    <col min="31" max="31" width="7.109375" style="5" bestFit="1" customWidth="1"/>
    <col min="32" max="32" width="6.5546875" customWidth="1"/>
    <col min="33" max="33" width="6.77734375" style="7" bestFit="1" customWidth="1"/>
    <col min="34" max="34" width="26.88671875" bestFit="1" customWidth="1"/>
    <col min="35" max="35" width="6.109375" style="3" bestFit="1" customWidth="1"/>
    <col min="36" max="36" width="6" style="5" bestFit="1" customWidth="1"/>
    <col min="37" max="37" width="4.5546875" bestFit="1" customWidth="1"/>
    <col min="38" max="38" width="5.21875" style="7" bestFit="1" customWidth="1"/>
    <col min="39" max="39" width="24.44140625" bestFit="1" customWidth="1"/>
    <col min="40" max="40" width="6.109375" style="3" bestFit="1" customWidth="1"/>
    <col min="41" max="41" width="6" style="5" bestFit="1" customWidth="1"/>
    <col min="42" max="42" width="4.5546875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6" style="5" bestFit="1" customWidth="1"/>
    <col min="47" max="47" width="4.5546875" bestFit="1" customWidth="1"/>
    <col min="48" max="48" width="5.218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5.5546875" bestFit="1" customWidth="1"/>
    <col min="58" max="58" width="5.218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24.44140625" bestFit="1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14.77734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</cols>
  <sheetData>
    <row r="1" spans="1:103" x14ac:dyDescent="0.3">
      <c r="A1" t="s">
        <v>0</v>
      </c>
      <c r="D1" t="s">
        <v>1122</v>
      </c>
      <c r="I1" t="s">
        <v>1123</v>
      </c>
      <c r="N1" t="s">
        <v>1124</v>
      </c>
      <c r="Q1"/>
      <c r="S1" t="s">
        <v>1125</v>
      </c>
      <c r="V1"/>
      <c r="X1" t="s">
        <v>1126</v>
      </c>
      <c r="AC1" t="s">
        <v>1127</v>
      </c>
      <c r="AH1" t="s">
        <v>1128</v>
      </c>
      <c r="AM1" t="s">
        <v>1129</v>
      </c>
      <c r="AR1" t="s">
        <v>1130</v>
      </c>
    </row>
    <row r="2" spans="1:103" x14ac:dyDescent="0.3">
      <c r="A2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5" t="s">
        <v>17</v>
      </c>
      <c r="Q2" s="7" t="s">
        <v>18</v>
      </c>
      <c r="R2" s="7" t="s">
        <v>499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498</v>
      </c>
      <c r="X2" t="s">
        <v>23</v>
      </c>
      <c r="Y2" s="3" t="s">
        <v>24</v>
      </c>
      <c r="Z2" s="5" t="s">
        <v>25</v>
      </c>
      <c r="AA2" t="s">
        <v>26</v>
      </c>
      <c r="AB2" s="7" t="s">
        <v>486</v>
      </c>
      <c r="AC2" t="s">
        <v>27</v>
      </c>
      <c r="AD2" s="3" t="s">
        <v>28</v>
      </c>
      <c r="AE2" s="5" t="s">
        <v>29</v>
      </c>
      <c r="AF2" t="s">
        <v>30</v>
      </c>
      <c r="AG2" s="7" t="s">
        <v>487</v>
      </c>
      <c r="AH2" t="s">
        <v>31</v>
      </c>
      <c r="AI2" s="3" t="s">
        <v>32</v>
      </c>
      <c r="AJ2" s="5" t="s">
        <v>33</v>
      </c>
      <c r="AK2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  <c r="AW2" t="s">
        <v>43</v>
      </c>
      <c r="AX2" s="3" t="s">
        <v>44</v>
      </c>
      <c r="AY2" s="5" t="s">
        <v>45</v>
      </c>
      <c r="AZ2" t="s">
        <v>46</v>
      </c>
      <c r="BA2" s="7" t="s">
        <v>497</v>
      </c>
      <c r="BB2" t="s">
        <v>47</v>
      </c>
      <c r="BC2" s="3" t="s">
        <v>48</v>
      </c>
      <c r="BD2" s="5" t="s">
        <v>49</v>
      </c>
      <c r="BE2" t="s">
        <v>50</v>
      </c>
      <c r="BF2" s="7" t="s">
        <v>496</v>
      </c>
      <c r="BG2" t="s">
        <v>51</v>
      </c>
      <c r="BH2" s="3" t="s">
        <v>52</v>
      </c>
      <c r="BI2" s="5" t="s">
        <v>53</v>
      </c>
      <c r="BJ2" t="s">
        <v>54</v>
      </c>
      <c r="BK2" s="7" t="s">
        <v>495</v>
      </c>
      <c r="BL2" t="s">
        <v>55</v>
      </c>
      <c r="BM2" s="3" t="s">
        <v>56</v>
      </c>
      <c r="BN2" s="5" t="s">
        <v>57</v>
      </c>
      <c r="BO2" t="s">
        <v>58</v>
      </c>
      <c r="BP2" s="7" t="s">
        <v>494</v>
      </c>
      <c r="BQ2" t="s">
        <v>59</v>
      </c>
      <c r="BR2" s="3" t="s">
        <v>60</v>
      </c>
      <c r="BS2" s="5" t="s">
        <v>61</v>
      </c>
      <c r="BT2" t="s">
        <v>62</v>
      </c>
      <c r="BU2" s="7" t="s">
        <v>493</v>
      </c>
      <c r="BV2" t="s">
        <v>63</v>
      </c>
      <c r="BW2" s="3" t="s">
        <v>64</v>
      </c>
      <c r="BX2" s="5" t="s">
        <v>65</v>
      </c>
      <c r="BY2" t="s">
        <v>66</v>
      </c>
      <c r="BZ2" s="7" t="s">
        <v>492</v>
      </c>
      <c r="CA2" t="s">
        <v>524</v>
      </c>
      <c r="CB2" s="3" t="s">
        <v>525</v>
      </c>
      <c r="CC2" s="5" t="s">
        <v>526</v>
      </c>
      <c r="CD2" t="s">
        <v>527</v>
      </c>
      <c r="CE2" s="7" t="s">
        <v>528</v>
      </c>
      <c r="CF2" t="s">
        <v>530</v>
      </c>
      <c r="CG2" s="3" t="s">
        <v>531</v>
      </c>
      <c r="CH2" s="5" t="s">
        <v>532</v>
      </c>
      <c r="CI2" t="s">
        <v>533</v>
      </c>
      <c r="CJ2" s="7" t="s">
        <v>534</v>
      </c>
      <c r="CK2" t="s">
        <v>537</v>
      </c>
      <c r="CL2" t="s">
        <v>538</v>
      </c>
      <c r="CM2" t="s">
        <v>539</v>
      </c>
      <c r="CN2" t="s">
        <v>541</v>
      </c>
      <c r="CO2" t="s">
        <v>540</v>
      </c>
      <c r="CP2" t="s">
        <v>543</v>
      </c>
      <c r="CQ2" t="s">
        <v>544</v>
      </c>
      <c r="CR2" t="s">
        <v>545</v>
      </c>
      <c r="CS2" t="s">
        <v>546</v>
      </c>
      <c r="CT2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A3" t="s">
        <v>217</v>
      </c>
      <c r="B3">
        <f>IF(A3="","",_xlfn.XLOOKUP(A3,Tab_base[Nom + Prénom],Tab_base[Puce], ""))</f>
        <v>8050858</v>
      </c>
      <c r="C3" t="str">
        <f>IF(A3="","",_xlfn.XLOOKUP(A3,Tab_base[Nom + Prénom],Tab_base[Court],""))</f>
        <v>H65</v>
      </c>
      <c r="G3" s="1"/>
      <c r="M3" s="8"/>
      <c r="AA3" s="1"/>
      <c r="AB3" s="8"/>
      <c r="CB3" s="3"/>
      <c r="CC3" s="5"/>
      <c r="CE3" s="7"/>
      <c r="CG3" s="3"/>
      <c r="CH3" s="5"/>
      <c r="CJ3" s="7"/>
    </row>
    <row r="4" spans="1:103" x14ac:dyDescent="0.3">
      <c r="A4" t="s">
        <v>223</v>
      </c>
      <c r="B4">
        <f>IF(A4="","",_xlfn.XLOOKUP(A4,Tab_base[Nom + Prénom],Tab_base[Puce], ""))</f>
        <v>8581786</v>
      </c>
      <c r="C4" t="str">
        <f>IF(A4="","",_xlfn.XLOOKUP(A4,Tab_base[Nom + Prénom],Tab_base[Court],""))</f>
        <v>H21</v>
      </c>
      <c r="G4" s="4"/>
      <c r="Q4" s="8"/>
      <c r="R4" s="8"/>
      <c r="AA4" s="1"/>
      <c r="AB4" s="8"/>
    </row>
    <row r="5" spans="1:103" x14ac:dyDescent="0.3">
      <c r="A5" t="s">
        <v>234</v>
      </c>
      <c r="B5">
        <f>IF(A5="","",_xlfn.XLOOKUP(A5,Tab_base[Nom + Prénom],Tab_base[Puce], ""))</f>
        <v>8161718</v>
      </c>
      <c r="C5" t="str">
        <f>IF(A5="","",_xlfn.XLOOKUP(A5,Tab_base[Nom + Prénom],Tab_base[Court],""))</f>
        <v>D20</v>
      </c>
      <c r="G5" s="4"/>
      <c r="Q5" s="8"/>
      <c r="R5" s="8"/>
      <c r="AA5" s="1"/>
      <c r="AB5" s="8"/>
    </row>
    <row r="6" spans="1:103" x14ac:dyDescent="0.3">
      <c r="A6" t="s">
        <v>236</v>
      </c>
      <c r="B6">
        <f>IF(A6="","",_xlfn.XLOOKUP(A6,Tab_base[Nom + Prénom],Tab_base[Puce], ""))</f>
        <v>8171016</v>
      </c>
      <c r="C6" t="str">
        <f>IF(A6="","",_xlfn.XLOOKUP(A6,Tab_base[Nom + Prénom],Tab_base[Court],""))</f>
        <v>D20</v>
      </c>
      <c r="AA6" s="1"/>
      <c r="AB6" s="8"/>
    </row>
    <row r="7" spans="1:103" x14ac:dyDescent="0.3">
      <c r="A7" t="s">
        <v>239</v>
      </c>
      <c r="B7">
        <f>IF(A7="","",_xlfn.XLOOKUP(A7,Tab_base[Nom + Prénom],Tab_base[Puce], ""))</f>
        <v>8534679</v>
      </c>
      <c r="C7" t="str">
        <f>IF(A7="","",_xlfn.XLOOKUP(A7,Tab_base[Nom + Prénom],Tab_base[Court],""))</f>
        <v>H14</v>
      </c>
      <c r="G7" s="4"/>
      <c r="Q7" s="8"/>
      <c r="R7" s="8"/>
      <c r="V7" s="8"/>
      <c r="W7" s="8"/>
    </row>
    <row r="8" spans="1:103" x14ac:dyDescent="0.3">
      <c r="A8" t="s">
        <v>243</v>
      </c>
      <c r="B8">
        <f>IF(A8="","",_xlfn.XLOOKUP(A8,Tab_base[Nom + Prénom],Tab_base[Puce], ""))</f>
        <v>2158061</v>
      </c>
      <c r="C8" t="str">
        <f>IF(A8="","",_xlfn.XLOOKUP(A8,Tab_base[Nom + Prénom],Tab_base[Court],""))</f>
        <v>D10</v>
      </c>
      <c r="G8" s="4"/>
      <c r="Q8" s="8"/>
      <c r="R8" s="8"/>
      <c r="V8" s="8"/>
      <c r="W8" s="8"/>
    </row>
    <row r="9" spans="1:103" x14ac:dyDescent="0.3">
      <c r="A9" t="s">
        <v>246</v>
      </c>
      <c r="B9">
        <f>IF(A9="","",_xlfn.XLOOKUP(A9,Tab_base[Nom + Prénom],Tab_base[Puce], ""))</f>
        <v>8545607</v>
      </c>
      <c r="C9" t="str">
        <f>IF(A9="","",_xlfn.XLOOKUP(A9,Tab_base[Nom + Prénom],Tab_base[Court],""))</f>
        <v>D70</v>
      </c>
      <c r="D9" t="s">
        <v>1131</v>
      </c>
      <c r="F9" s="5" t="s">
        <v>148</v>
      </c>
      <c r="G9" s="4"/>
      <c r="I9" t="s">
        <v>1134</v>
      </c>
      <c r="K9" s="5">
        <v>4.116898148148148E-2</v>
      </c>
      <c r="L9" s="1" t="s">
        <v>1135</v>
      </c>
      <c r="M9" s="8" t="s">
        <v>1136</v>
      </c>
      <c r="Q9" s="8"/>
      <c r="R9" s="8"/>
      <c r="V9" s="8"/>
      <c r="W9" s="8"/>
    </row>
    <row r="10" spans="1:103" x14ac:dyDescent="0.3">
      <c r="A10" t="s">
        <v>272</v>
      </c>
      <c r="B10">
        <f>IF(A10="","",_xlfn.XLOOKUP(A10,Tab_base[Nom + Prénom],Tab_base[Puce], ""))</f>
        <v>8890305</v>
      </c>
      <c r="C10" t="str">
        <f>IF(A10="","",_xlfn.XLOOKUP(A10,Tab_base[Nom + Prénom],Tab_base[Court],""))</f>
        <v>H55</v>
      </c>
      <c r="G10" s="4"/>
      <c r="Q10" s="8"/>
      <c r="R10" s="8"/>
      <c r="V10" s="8"/>
      <c r="W10" s="8"/>
      <c r="AA10" s="1"/>
      <c r="AB10" s="8"/>
    </row>
    <row r="11" spans="1:103" x14ac:dyDescent="0.3">
      <c r="A11" t="s">
        <v>277</v>
      </c>
      <c r="B11">
        <f>IF(A11="","",_xlfn.XLOOKUP(A11,Tab_base[Nom + Prénom],Tab_base[Puce], ""))</f>
        <v>1890311</v>
      </c>
      <c r="C11" t="str">
        <f>IF(A11="","",_xlfn.XLOOKUP(A11,Tab_base[Nom + Prénom],Tab_base[Court],""))</f>
        <v>H65</v>
      </c>
      <c r="G11" s="4"/>
      <c r="Q11" s="8"/>
      <c r="R11" s="8"/>
      <c r="V11" s="8"/>
      <c r="W11" s="8"/>
    </row>
    <row r="12" spans="1:103" x14ac:dyDescent="0.3">
      <c r="A12" t="s">
        <v>241</v>
      </c>
      <c r="B12">
        <f>IF(A12="","",_xlfn.XLOOKUP(A12,Tab_base[Nom + Prénom],Tab_base[Puce], ""))</f>
        <v>8534692</v>
      </c>
      <c r="C12" t="str">
        <f>IF(A12="","",_xlfn.XLOOKUP(A12,Tab_base[Nom + Prénom],Tab_base[Court],""))</f>
        <v>H40</v>
      </c>
      <c r="G12" s="4"/>
      <c r="Q12" s="8"/>
      <c r="R12" s="8"/>
      <c r="V12" s="8"/>
      <c r="W12" s="8"/>
    </row>
    <row r="13" spans="1:103" x14ac:dyDescent="0.3">
      <c r="A13" t="s">
        <v>282</v>
      </c>
      <c r="B13">
        <f>IF(A13="","",_xlfn.XLOOKUP(A13,Tab_base[Nom + Prénom],Tab_base[Puce], ""))</f>
        <v>8527790</v>
      </c>
      <c r="C13" t="str">
        <f>IF(A13="","",_xlfn.XLOOKUP(A13,Tab_base[Nom + Prénom],Tab_base[Court],""))</f>
        <v>H50</v>
      </c>
      <c r="L13" s="1"/>
      <c r="M13" s="8"/>
      <c r="AA13" s="1"/>
      <c r="AB13" s="8"/>
    </row>
    <row r="14" spans="1:103" x14ac:dyDescent="0.3">
      <c r="A14" t="s">
        <v>284</v>
      </c>
      <c r="B14">
        <f>IF(A14="","",_xlfn.XLOOKUP(A14,Tab_base[Nom + Prénom],Tab_base[Puce], ""))</f>
        <v>8542857</v>
      </c>
      <c r="C14" t="str">
        <f>IF(A14="","",_xlfn.XLOOKUP(A14,Tab_base[Nom + Prénom],Tab_base[Court],""))</f>
        <v>H14</v>
      </c>
      <c r="L14" s="1"/>
      <c r="M14" s="8"/>
      <c r="AA14" s="1"/>
      <c r="AB14" s="8"/>
    </row>
    <row r="15" spans="1:103" x14ac:dyDescent="0.3">
      <c r="A15" t="s">
        <v>305</v>
      </c>
      <c r="B15">
        <f>IF(A15="","",_xlfn.XLOOKUP(A15,Tab_base[Nom + Prénom],Tab_base[Puce], ""))</f>
        <v>8890304</v>
      </c>
      <c r="C15" t="str">
        <f>IF(A15="","",_xlfn.XLOOKUP(A15,Tab_base[Nom + Prénom],Tab_base[Court],""))</f>
        <v>D55</v>
      </c>
      <c r="L15" s="1"/>
      <c r="M15" s="8"/>
      <c r="AA15" s="1"/>
      <c r="AB15" s="8"/>
    </row>
    <row r="16" spans="1:103" x14ac:dyDescent="0.3">
      <c r="A16" t="s">
        <v>308</v>
      </c>
      <c r="B16">
        <f>IF(A16="","",_xlfn.XLOOKUP(A16,Tab_base[Nom + Prénom],Tab_base[Puce], ""))</f>
        <v>8890303</v>
      </c>
      <c r="C16" t="str">
        <f>IF(A16="","",_xlfn.XLOOKUP(A16,Tab_base[Nom + Prénom],Tab_base[Court],""))</f>
        <v>H75</v>
      </c>
      <c r="D16" t="s">
        <v>1132</v>
      </c>
      <c r="F16" s="5">
        <v>6.1412037037037036E-2</v>
      </c>
      <c r="G16" s="1" t="s">
        <v>799</v>
      </c>
      <c r="H16" s="8" t="s">
        <v>1133</v>
      </c>
      <c r="I16" t="s">
        <v>1137</v>
      </c>
      <c r="K16" s="5">
        <v>5.482638888888889E-2</v>
      </c>
      <c r="L16" s="1" t="s">
        <v>722</v>
      </c>
      <c r="M16" s="8" t="s">
        <v>1138</v>
      </c>
      <c r="AF16" s="1"/>
      <c r="AG16" s="8"/>
    </row>
    <row r="17" spans="1:33" x14ac:dyDescent="0.3">
      <c r="A17" t="s">
        <v>311</v>
      </c>
      <c r="B17">
        <f>IF(A17="","",_xlfn.XLOOKUP(A17,Tab_base[Nom + Prénom],Tab_base[Puce], ""))</f>
        <v>8547726</v>
      </c>
      <c r="C17" t="str">
        <f>IF(A17="","",_xlfn.XLOOKUP(A17,Tab_base[Nom + Prénom],Tab_base[Court],""))</f>
        <v>H65</v>
      </c>
      <c r="L17" s="1"/>
      <c r="M17" s="8"/>
      <c r="AF17" s="8"/>
      <c r="AG17" s="8"/>
    </row>
    <row r="18" spans="1:33" x14ac:dyDescent="0.3">
      <c r="A18" t="s">
        <v>314</v>
      </c>
      <c r="B18">
        <f>IF(A18="","",_xlfn.XLOOKUP(A18,Tab_base[Nom + Prénom],Tab_base[Puce], ""))</f>
        <v>2158056</v>
      </c>
      <c r="C18" t="str">
        <f>IF(A18="","",_xlfn.XLOOKUP(A18,Tab_base[Nom + Prénom],Tab_base[Court],""))</f>
        <v>D40</v>
      </c>
      <c r="Q18" s="8"/>
      <c r="R18" s="8"/>
      <c r="V18" s="8"/>
      <c r="W18" s="8"/>
    </row>
    <row r="19" spans="1:33" x14ac:dyDescent="0.3">
      <c r="A19" t="s">
        <v>317</v>
      </c>
      <c r="B19">
        <f>IF(A19="","",_xlfn.XLOOKUP(A19,Tab_base[Nom + Prénom],Tab_base[Puce], ""))</f>
        <v>8890301</v>
      </c>
      <c r="C19" t="str">
        <f>IF(A19="","",_xlfn.XLOOKUP(A19,Tab_base[Nom + Prénom],Tab_base[Court],""))</f>
        <v>D21</v>
      </c>
      <c r="G19" s="4"/>
      <c r="L19" s="4"/>
    </row>
    <row r="20" spans="1:33" x14ac:dyDescent="0.3">
      <c r="A20" t="s">
        <v>322</v>
      </c>
      <c r="B20">
        <f>IF(A20="","",_xlfn.XLOOKUP(A20,Tab_base[Nom + Prénom],Tab_base[Puce], ""))</f>
        <v>8212535</v>
      </c>
      <c r="C20" t="str">
        <f>IF(A20="","",_xlfn.XLOOKUP(A20,Tab_base[Nom + Prénom],Tab_base[Court],""))</f>
        <v>H20</v>
      </c>
      <c r="G20" s="6"/>
      <c r="L20" s="6"/>
      <c r="W20" s="8"/>
      <c r="AA20" s="1"/>
      <c r="AB20" s="8"/>
    </row>
    <row r="21" spans="1:33" x14ac:dyDescent="0.3">
      <c r="A21" t="s">
        <v>328</v>
      </c>
      <c r="B21">
        <f>IF(A21="","",_xlfn.XLOOKUP(A21,Tab_base[Nom + Prénom],Tab_base[Puce], ""))</f>
        <v>8005961</v>
      </c>
      <c r="C21" t="str">
        <f>IF(A21="","",_xlfn.XLOOKUP(A21,Tab_base[Nom + Prénom],Tab_base[Court],""))</f>
        <v>H65</v>
      </c>
      <c r="G21" s="1"/>
      <c r="H21" s="8"/>
      <c r="Q21" s="8"/>
      <c r="R21" s="8"/>
      <c r="V21" s="8"/>
      <c r="W21" s="8"/>
      <c r="AA21" s="1"/>
      <c r="AB21" s="8"/>
    </row>
    <row r="22" spans="1:33" x14ac:dyDescent="0.3">
      <c r="A22" t="s">
        <v>343</v>
      </c>
      <c r="B22">
        <f>IF(A22="","",_xlfn.XLOOKUP(A22,Tab_base[Nom + Prénom],Tab_base[Puce], ""))</f>
        <v>8546861</v>
      </c>
      <c r="C22" t="str">
        <f>IF(A22="","",_xlfn.XLOOKUP(A22,Tab_base[Nom + Prénom],Tab_base[Court],""))</f>
        <v>D50</v>
      </c>
      <c r="AF22" s="1"/>
      <c r="AG22" s="8"/>
    </row>
    <row r="23" spans="1:33" x14ac:dyDescent="0.3">
      <c r="A23" t="s">
        <v>346</v>
      </c>
      <c r="B23">
        <f>IF(A23="","",_xlfn.XLOOKUP(A23,Tab_base[Nom + Prénom],Tab_base[Puce], ""))</f>
        <v>8509002</v>
      </c>
      <c r="C23" t="str">
        <f>IF(A23="","",_xlfn.XLOOKUP(A23,Tab_base[Nom + Prénom],Tab_base[Court],""))</f>
        <v>H55</v>
      </c>
      <c r="AA23" s="1"/>
      <c r="AB23" s="8"/>
      <c r="AF23" s="1"/>
      <c r="AG23" s="8"/>
    </row>
    <row r="24" spans="1:33" s="138" customFormat="1" x14ac:dyDescent="0.3"/>
    <row r="25" spans="1:33" x14ac:dyDescent="0.3">
      <c r="B25" t="str">
        <f>IF(A25="","",_xlfn.XLOOKUP(A25,Tab_base[Nom + Prénom],Tab_base[Puce], ""))</f>
        <v/>
      </c>
      <c r="C25" t="str">
        <f>IF(A25="","",_xlfn.XLOOKUP(A25,Tab_base[Nom + Prénom],Tab_base[Court],""))</f>
        <v/>
      </c>
    </row>
    <row r="26" spans="1:33" ht="13.2" customHeight="1" x14ac:dyDescent="0.3">
      <c r="B26" t="str">
        <f>IF(A26="","",_xlfn.XLOOKUP(A26,Tab_base[Nom + Prénom],Tab_base[Puce], ""))</f>
        <v/>
      </c>
      <c r="C26" t="str">
        <f>IF(A26="","",_xlfn.XLOOKUP(A26,Tab_base[Nom + Prénom],Tab_base[Court],""))</f>
        <v/>
      </c>
    </row>
    <row r="33" spans="60:79" x14ac:dyDescent="0.3">
      <c r="BW33"/>
      <c r="BX33" s="3"/>
      <c r="BY33" s="5"/>
      <c r="BZ33"/>
      <c r="CA33" s="7"/>
    </row>
    <row r="37" spans="60:79" x14ac:dyDescent="0.3">
      <c r="BH37"/>
      <c r="BI37"/>
      <c r="BK37"/>
      <c r="BM37"/>
      <c r="BN37"/>
      <c r="BP37"/>
      <c r="BR37"/>
      <c r="BS37"/>
      <c r="BU37"/>
      <c r="BW37"/>
      <c r="BX37"/>
      <c r="BZ37"/>
    </row>
    <row r="43" spans="60:79" x14ac:dyDescent="0.3">
      <c r="BW43"/>
      <c r="BX43"/>
      <c r="BZ43"/>
    </row>
    <row r="44" spans="60:79" x14ac:dyDescent="0.3">
      <c r="BW44"/>
      <c r="BX44"/>
      <c r="BZ44"/>
    </row>
    <row r="45" spans="60:79" x14ac:dyDescent="0.3">
      <c r="BW45"/>
      <c r="BX45"/>
      <c r="BZ45"/>
    </row>
    <row r="46" spans="60:79" x14ac:dyDescent="0.3">
      <c r="BW46"/>
      <c r="BX46"/>
      <c r="BZ46"/>
    </row>
    <row r="47" spans="60:79" x14ac:dyDescent="0.3">
      <c r="BW47"/>
      <c r="BX47"/>
      <c r="BZ47"/>
    </row>
    <row r="48" spans="60:79" x14ac:dyDescent="0.3">
      <c r="BW48"/>
      <c r="BX48"/>
      <c r="BZ48"/>
    </row>
    <row r="49" spans="75:78" x14ac:dyDescent="0.3">
      <c r="BW49"/>
      <c r="BX49"/>
      <c r="BZ49"/>
    </row>
    <row r="50" spans="75:78" x14ac:dyDescent="0.3">
      <c r="BW50"/>
      <c r="BX50"/>
      <c r="BZ50"/>
    </row>
    <row r="54" spans="75:78" x14ac:dyDescent="0.3">
      <c r="BW5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4D9D5F-B228-4125-AB1A-684F1D79D279}">
          <x14:formula1>
            <xm:f>base!$Y$2:$Y$93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6DB26-C5BC-460E-80C2-B5614EA5FB2F}">
  <sheetPr codeName="Feuil12"/>
  <dimension ref="A1:CY54"/>
  <sheetViews>
    <sheetView workbookViewId="0">
      <pane xSplit="3" ySplit="2" topLeftCell="X3" activePane="bottomRight" state="frozen"/>
      <selection pane="topRight" activeCell="D1" sqref="D1"/>
      <selection pane="bottomLeft" activeCell="A3" sqref="A3"/>
      <selection pane="bottomRight" activeCell="X29" sqref="X29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4.33203125" bestFit="1" customWidth="1"/>
    <col min="4" max="4" width="20.5546875" bestFit="1" customWidth="1"/>
    <col min="5" max="5" width="6.109375" style="3" bestFit="1" customWidth="1"/>
    <col min="6" max="6" width="9.109375" style="5" bestFit="1" customWidth="1"/>
    <col min="7" max="7" width="5.77734375" bestFit="1" customWidth="1"/>
    <col min="8" max="8" width="8.109375" style="7" bestFit="1" customWidth="1"/>
    <col min="9" max="9" width="21.21875" bestFit="1" customWidth="1"/>
    <col min="10" max="10" width="6.109375" style="3" bestFit="1" customWidth="1"/>
    <col min="11" max="11" width="7.109375" style="5" bestFit="1" customWidth="1"/>
    <col min="12" max="12" width="5.77734375" bestFit="1" customWidth="1"/>
    <col min="13" max="13" width="6.5546875" style="7" bestFit="1" customWidth="1"/>
    <col min="14" max="14" width="30.21875" bestFit="1" customWidth="1"/>
    <col min="15" max="15" width="6.109375" style="3" bestFit="1" customWidth="1"/>
    <col min="16" max="16" width="7.109375" style="5" bestFit="1" customWidth="1"/>
    <col min="17" max="17" width="5.77734375" style="7" bestFit="1" customWidth="1"/>
    <col min="18" max="18" width="8.5546875" style="7" bestFit="1" customWidth="1"/>
    <col min="19" max="19" width="28.77734375" bestFit="1" customWidth="1"/>
    <col min="20" max="20" width="6.109375" style="3" bestFit="1" customWidth="1"/>
    <col min="21" max="21" width="7.109375" style="5" bestFit="1" customWidth="1"/>
    <col min="22" max="22" width="6.5546875" style="7" bestFit="1" customWidth="1"/>
    <col min="23" max="23" width="8.109375" style="7" bestFit="1" customWidth="1"/>
    <col min="24" max="24" width="26.33203125" bestFit="1" customWidth="1"/>
    <col min="25" max="25" width="6.109375" style="3" bestFit="1" customWidth="1"/>
    <col min="26" max="26" width="7.109375" style="5" bestFit="1" customWidth="1"/>
    <col min="27" max="27" width="4.5546875" bestFit="1" customWidth="1"/>
    <col min="28" max="28" width="6.77734375" style="7" bestFit="1" customWidth="1"/>
    <col min="29" max="29" width="27.77734375" bestFit="1" customWidth="1"/>
    <col min="30" max="30" width="6.109375" style="3" bestFit="1" customWidth="1"/>
    <col min="31" max="31" width="7.109375" style="5" bestFit="1" customWidth="1"/>
    <col min="32" max="32" width="6.5546875" customWidth="1"/>
    <col min="33" max="33" width="6.77734375" style="7" bestFit="1" customWidth="1"/>
    <col min="34" max="34" width="26.88671875" bestFit="1" customWidth="1"/>
    <col min="35" max="35" width="6.109375" style="3" bestFit="1" customWidth="1"/>
    <col min="36" max="36" width="6" style="5" bestFit="1" customWidth="1"/>
    <col min="37" max="37" width="4.5546875" bestFit="1" customWidth="1"/>
    <col min="38" max="38" width="5.21875" style="7" bestFit="1" customWidth="1"/>
    <col min="39" max="39" width="24.44140625" bestFit="1" customWidth="1"/>
    <col min="40" max="40" width="6.109375" style="3" bestFit="1" customWidth="1"/>
    <col min="41" max="41" width="6" style="5" bestFit="1" customWidth="1"/>
    <col min="42" max="42" width="4.5546875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6" style="5" bestFit="1" customWidth="1"/>
    <col min="47" max="47" width="4.5546875" bestFit="1" customWidth="1"/>
    <col min="48" max="48" width="5.218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5.5546875" bestFit="1" customWidth="1"/>
    <col min="58" max="58" width="5.218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24.44140625" bestFit="1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14.77734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</cols>
  <sheetData>
    <row r="1" spans="1:103" x14ac:dyDescent="0.3">
      <c r="A1" t="s">
        <v>0</v>
      </c>
      <c r="D1" t="s">
        <v>1045</v>
      </c>
      <c r="I1" t="s">
        <v>1050</v>
      </c>
      <c r="N1" t="s">
        <v>1046</v>
      </c>
      <c r="S1" t="s">
        <v>1047</v>
      </c>
      <c r="X1" t="s">
        <v>1048</v>
      </c>
      <c r="AC1" t="s">
        <v>1049</v>
      </c>
    </row>
    <row r="2" spans="1:103" x14ac:dyDescent="0.3">
      <c r="A2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5" t="s">
        <v>17</v>
      </c>
      <c r="Q2" s="7" t="s">
        <v>18</v>
      </c>
      <c r="R2" s="7" t="s">
        <v>499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498</v>
      </c>
      <c r="X2" t="s">
        <v>23</v>
      </c>
      <c r="Y2" s="3" t="s">
        <v>24</v>
      </c>
      <c r="Z2" s="5" t="s">
        <v>25</v>
      </c>
      <c r="AA2" t="s">
        <v>26</v>
      </c>
      <c r="AB2" s="7" t="s">
        <v>486</v>
      </c>
      <c r="AC2" t="s">
        <v>27</v>
      </c>
      <c r="AD2" s="3" t="s">
        <v>28</v>
      </c>
      <c r="AE2" s="5" t="s">
        <v>29</v>
      </c>
      <c r="AF2" t="s">
        <v>30</v>
      </c>
      <c r="AG2" s="7" t="s">
        <v>487</v>
      </c>
      <c r="AH2" t="s">
        <v>31</v>
      </c>
      <c r="AI2" s="3" t="s">
        <v>32</v>
      </c>
      <c r="AJ2" s="5" t="s">
        <v>33</v>
      </c>
      <c r="AK2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  <c r="AW2" t="s">
        <v>43</v>
      </c>
      <c r="AX2" s="3" t="s">
        <v>44</v>
      </c>
      <c r="AY2" s="5" t="s">
        <v>45</v>
      </c>
      <c r="AZ2" t="s">
        <v>46</v>
      </c>
      <c r="BA2" s="7" t="s">
        <v>497</v>
      </c>
      <c r="BB2" t="s">
        <v>47</v>
      </c>
      <c r="BC2" s="3" t="s">
        <v>48</v>
      </c>
      <c r="BD2" s="5" t="s">
        <v>49</v>
      </c>
      <c r="BE2" t="s">
        <v>50</v>
      </c>
      <c r="BF2" s="7" t="s">
        <v>496</v>
      </c>
      <c r="BG2" t="s">
        <v>51</v>
      </c>
      <c r="BH2" s="3" t="s">
        <v>52</v>
      </c>
      <c r="BI2" s="5" t="s">
        <v>53</v>
      </c>
      <c r="BJ2" t="s">
        <v>54</v>
      </c>
      <c r="BK2" s="7" t="s">
        <v>495</v>
      </c>
      <c r="BL2" t="s">
        <v>55</v>
      </c>
      <c r="BM2" s="3" t="s">
        <v>56</v>
      </c>
      <c r="BN2" s="5" t="s">
        <v>57</v>
      </c>
      <c r="BO2" t="s">
        <v>58</v>
      </c>
      <c r="BP2" s="7" t="s">
        <v>494</v>
      </c>
      <c r="BQ2" t="s">
        <v>59</v>
      </c>
      <c r="BR2" s="3" t="s">
        <v>60</v>
      </c>
      <c r="BS2" s="5" t="s">
        <v>61</v>
      </c>
      <c r="BT2" t="s">
        <v>62</v>
      </c>
      <c r="BU2" s="7" t="s">
        <v>493</v>
      </c>
      <c r="BV2" t="s">
        <v>63</v>
      </c>
      <c r="BW2" s="3" t="s">
        <v>64</v>
      </c>
      <c r="BX2" s="5" t="s">
        <v>65</v>
      </c>
      <c r="BY2" t="s">
        <v>66</v>
      </c>
      <c r="BZ2" s="7" t="s">
        <v>492</v>
      </c>
      <c r="CA2" t="s">
        <v>524</v>
      </c>
      <c r="CB2" s="3" t="s">
        <v>525</v>
      </c>
      <c r="CC2" s="5" t="s">
        <v>526</v>
      </c>
      <c r="CD2" t="s">
        <v>527</v>
      </c>
      <c r="CE2" s="7" t="s">
        <v>528</v>
      </c>
      <c r="CF2" t="s">
        <v>530</v>
      </c>
      <c r="CG2" s="3" t="s">
        <v>531</v>
      </c>
      <c r="CH2" s="5" t="s">
        <v>532</v>
      </c>
      <c r="CI2" t="s">
        <v>533</v>
      </c>
      <c r="CJ2" s="7" t="s">
        <v>534</v>
      </c>
      <c r="CK2" t="s">
        <v>537</v>
      </c>
      <c r="CL2" t="s">
        <v>538</v>
      </c>
      <c r="CM2" t="s">
        <v>539</v>
      </c>
      <c r="CN2" t="s">
        <v>541</v>
      </c>
      <c r="CO2" t="s">
        <v>540</v>
      </c>
      <c r="CP2" t="s">
        <v>543</v>
      </c>
      <c r="CQ2" t="s">
        <v>544</v>
      </c>
      <c r="CR2" t="s">
        <v>545</v>
      </c>
      <c r="CS2" t="s">
        <v>546</v>
      </c>
      <c r="CT2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A3" t="s">
        <v>217</v>
      </c>
      <c r="B3">
        <f>IF(A3="","",_xlfn.XLOOKUP(A3,Tab_base[Nom + Prénom],Tab_base[Puce], ""))</f>
        <v>8050858</v>
      </c>
      <c r="C3" t="str">
        <f>IF(A3="","",_xlfn.XLOOKUP(A3,Tab_base[Nom + Prénom],Tab_base[Court],""))</f>
        <v>H65</v>
      </c>
      <c r="G3" s="1"/>
      <c r="M3" s="8"/>
      <c r="X3" t="s">
        <v>1118</v>
      </c>
      <c r="Z3" s="5">
        <v>3.6608796296296299E-2</v>
      </c>
      <c r="AA3" s="1" t="s">
        <v>560</v>
      </c>
      <c r="AB3" s="8" t="s">
        <v>1025</v>
      </c>
      <c r="CB3" s="3"/>
      <c r="CC3" s="5"/>
      <c r="CE3" s="7"/>
      <c r="CG3" s="3"/>
      <c r="CH3" s="5"/>
      <c r="CJ3" s="7"/>
    </row>
    <row r="4" spans="1:103" x14ac:dyDescent="0.3">
      <c r="A4" t="s">
        <v>223</v>
      </c>
      <c r="B4">
        <f>IF(A4="","",_xlfn.XLOOKUP(A4,Tab_base[Nom + Prénom],Tab_base[Puce], ""))</f>
        <v>8581786</v>
      </c>
      <c r="C4" t="str">
        <f>IF(A4="","",_xlfn.XLOOKUP(A4,Tab_base[Nom + Prénom],Tab_base[Court],""))</f>
        <v>H21</v>
      </c>
      <c r="G4" s="4"/>
      <c r="N4" t="s">
        <v>89</v>
      </c>
      <c r="P4" s="5">
        <v>4.297453703703704E-2</v>
      </c>
      <c r="Q4" s="8" t="s">
        <v>1058</v>
      </c>
      <c r="R4" s="8" t="s">
        <v>1059</v>
      </c>
      <c r="X4" t="s">
        <v>89</v>
      </c>
      <c r="Z4" s="5">
        <v>3.2546296296296295E-2</v>
      </c>
      <c r="AA4" s="1" t="s">
        <v>1111</v>
      </c>
      <c r="AB4" s="8" t="s">
        <v>1114</v>
      </c>
    </row>
    <row r="5" spans="1:103" x14ac:dyDescent="0.3">
      <c r="A5" t="s">
        <v>234</v>
      </c>
      <c r="B5">
        <f>IF(A5="","",_xlfn.XLOOKUP(A5,Tab_base[Nom + Prénom],Tab_base[Puce], ""))</f>
        <v>8161718</v>
      </c>
      <c r="C5" t="str">
        <f>IF(A5="","",_xlfn.XLOOKUP(A5,Tab_base[Nom + Prénom],Tab_base[Court],""))</f>
        <v>D20</v>
      </c>
      <c r="G5" s="4"/>
      <c r="Q5" s="8"/>
      <c r="R5" s="8"/>
      <c r="X5" t="s">
        <v>1120</v>
      </c>
      <c r="Z5" s="5">
        <v>4.0833333333333333E-2</v>
      </c>
      <c r="AA5" s="1" t="s">
        <v>501</v>
      </c>
      <c r="AB5" s="8" t="s">
        <v>967</v>
      </c>
    </row>
    <row r="6" spans="1:103" x14ac:dyDescent="0.3">
      <c r="A6" t="s">
        <v>236</v>
      </c>
      <c r="B6">
        <f>IF(A6="","",_xlfn.XLOOKUP(A6,Tab_base[Nom + Prénom],Tab_base[Puce], ""))</f>
        <v>8171016</v>
      </c>
      <c r="C6" t="str">
        <f>IF(A6="","",_xlfn.XLOOKUP(A6,Tab_base[Nom + Prénom],Tab_base[Court],""))</f>
        <v>D20</v>
      </c>
      <c r="X6" t="s">
        <v>1120</v>
      </c>
      <c r="Z6" s="5">
        <v>3.2581018518518516E-2</v>
      </c>
      <c r="AA6" s="1" t="s">
        <v>1121</v>
      </c>
      <c r="AB6" s="8" t="s">
        <v>965</v>
      </c>
    </row>
    <row r="7" spans="1:103" x14ac:dyDescent="0.3">
      <c r="A7" t="s">
        <v>239</v>
      </c>
      <c r="B7">
        <f>IF(A7="","",_xlfn.XLOOKUP(A7,Tab_base[Nom + Prénom],Tab_base[Puce], ""))</f>
        <v>8534679</v>
      </c>
      <c r="C7" t="str">
        <f>IF(A7="","",_xlfn.XLOOKUP(A7,Tab_base[Nom + Prénom],Tab_base[Court],""))</f>
        <v>H14</v>
      </c>
      <c r="G7" s="4"/>
      <c r="N7" t="s">
        <v>67</v>
      </c>
      <c r="P7" s="5">
        <v>4.1562500000000002E-2</v>
      </c>
      <c r="Q7" s="8" t="s">
        <v>1056</v>
      </c>
      <c r="R7" s="8" t="s">
        <v>1057</v>
      </c>
      <c r="S7" t="s">
        <v>67</v>
      </c>
      <c r="U7" s="5">
        <v>6.3738425925925921E-2</v>
      </c>
      <c r="V7" s="8" t="s">
        <v>1070</v>
      </c>
      <c r="W7" s="8" t="s">
        <v>1100</v>
      </c>
    </row>
    <row r="8" spans="1:103" x14ac:dyDescent="0.3">
      <c r="A8" t="s">
        <v>243</v>
      </c>
      <c r="B8">
        <f>IF(A8="","",_xlfn.XLOOKUP(A8,Tab_base[Nom + Prénom],Tab_base[Puce], ""))</f>
        <v>2158061</v>
      </c>
      <c r="C8" t="str">
        <f>IF(A8="","",_xlfn.XLOOKUP(A8,Tab_base[Nom + Prénom],Tab_base[Court],""))</f>
        <v>D10</v>
      </c>
      <c r="G8" s="4"/>
      <c r="N8" t="s">
        <v>143</v>
      </c>
      <c r="P8" s="5">
        <v>2.4722222222222225E-2</v>
      </c>
      <c r="Q8" s="8" t="s">
        <v>1064</v>
      </c>
      <c r="R8" s="8" t="s">
        <v>1065</v>
      </c>
      <c r="S8" t="s">
        <v>143</v>
      </c>
      <c r="U8" s="5">
        <v>2.0092592592592592E-2</v>
      </c>
      <c r="V8" s="8" t="s">
        <v>581</v>
      </c>
      <c r="W8" s="8" t="s">
        <v>1102</v>
      </c>
    </row>
    <row r="9" spans="1:103" x14ac:dyDescent="0.3">
      <c r="A9" t="s">
        <v>246</v>
      </c>
      <c r="B9">
        <f>IF(A9="","",_xlfn.XLOOKUP(A9,Tab_base[Nom + Prénom],Tab_base[Puce], ""))</f>
        <v>8545607</v>
      </c>
      <c r="C9" t="str">
        <f>IF(A9="","",_xlfn.XLOOKUP(A9,Tab_base[Nom + Prénom],Tab_base[Court],""))</f>
        <v>D70</v>
      </c>
      <c r="G9" s="4"/>
      <c r="Q9" s="8"/>
      <c r="R9" s="8"/>
      <c r="V9" s="8"/>
      <c r="W9" s="8"/>
      <c r="AC9" t="s">
        <v>1107</v>
      </c>
      <c r="AE9" s="5" t="s">
        <v>148</v>
      </c>
    </row>
    <row r="10" spans="1:103" x14ac:dyDescent="0.3">
      <c r="A10" t="s">
        <v>272</v>
      </c>
      <c r="B10">
        <f>IF(A10="","",_xlfn.XLOOKUP(A10,Tab_base[Nom + Prénom],Tab_base[Puce], ""))</f>
        <v>8890305</v>
      </c>
      <c r="C10" t="str">
        <f>IF(A10="","",_xlfn.XLOOKUP(A10,Tab_base[Nom + Prénom],Tab_base[Court],""))</f>
        <v>H55</v>
      </c>
      <c r="G10" s="4"/>
      <c r="Q10" s="8"/>
      <c r="R10" s="8"/>
      <c r="V10" s="8"/>
      <c r="W10" s="8"/>
      <c r="X10" t="s">
        <v>1116</v>
      </c>
      <c r="Z10" s="5">
        <v>3.0474537037037036E-2</v>
      </c>
      <c r="AA10" s="1" t="s">
        <v>558</v>
      </c>
      <c r="AB10" s="8" t="s">
        <v>728</v>
      </c>
    </row>
    <row r="11" spans="1:103" x14ac:dyDescent="0.3">
      <c r="A11" t="s">
        <v>277</v>
      </c>
      <c r="B11">
        <f>IF(A11="","",_xlfn.XLOOKUP(A11,Tab_base[Nom + Prénom],Tab_base[Puce], ""))</f>
        <v>1890311</v>
      </c>
      <c r="C11" t="str">
        <f>IF(A11="","",_xlfn.XLOOKUP(A11,Tab_base[Nom + Prénom],Tab_base[Court],""))</f>
        <v>H65</v>
      </c>
      <c r="G11" s="4"/>
      <c r="N11" t="s">
        <v>72</v>
      </c>
      <c r="P11" s="5">
        <v>7.3877314814814812E-2</v>
      </c>
      <c r="Q11" s="8" t="s">
        <v>1062</v>
      </c>
      <c r="R11" s="8" t="s">
        <v>1063</v>
      </c>
      <c r="V11" s="8"/>
      <c r="W11" s="8"/>
    </row>
    <row r="12" spans="1:103" x14ac:dyDescent="0.3">
      <c r="A12" t="s">
        <v>241</v>
      </c>
      <c r="B12">
        <f>IF(A12="","",_xlfn.XLOOKUP(A12,Tab_base[Nom + Prénom],Tab_base[Puce], ""))</f>
        <v>8534692</v>
      </c>
      <c r="C12" t="str">
        <f>IF(A12="","",_xlfn.XLOOKUP(A12,Tab_base[Nom + Prénom],Tab_base[Court],""))</f>
        <v>H40</v>
      </c>
      <c r="G12" s="4"/>
      <c r="N12" t="s">
        <v>138</v>
      </c>
      <c r="P12" s="5">
        <v>7.3668981481481488E-2</v>
      </c>
      <c r="Q12" s="8" t="s">
        <v>573</v>
      </c>
      <c r="R12" s="8" t="s">
        <v>1060</v>
      </c>
      <c r="S12" t="s">
        <v>138</v>
      </c>
      <c r="U12" s="5">
        <v>0.10202546296296296</v>
      </c>
      <c r="V12" s="8" t="s">
        <v>1068</v>
      </c>
      <c r="W12" s="8" t="s">
        <v>1098</v>
      </c>
    </row>
    <row r="13" spans="1:103" x14ac:dyDescent="0.3">
      <c r="A13" t="s">
        <v>282</v>
      </c>
      <c r="B13">
        <f>IF(A13="","",_xlfn.XLOOKUP(A13,Tab_base[Nom + Prénom],Tab_base[Puce], ""))</f>
        <v>8527790</v>
      </c>
      <c r="C13" t="str">
        <f>IF(A13="","",_xlfn.XLOOKUP(A13,Tab_base[Nom + Prénom],Tab_base[Court],""))</f>
        <v>H50</v>
      </c>
      <c r="I13" t="s">
        <v>77</v>
      </c>
      <c r="K13" s="5">
        <v>3.7685185185185183E-2</v>
      </c>
      <c r="L13" s="1" t="s">
        <v>1006</v>
      </c>
      <c r="M13" s="8" t="s">
        <v>1053</v>
      </c>
      <c r="X13" t="s">
        <v>1115</v>
      </c>
      <c r="Z13" s="5">
        <v>3.5636574074074077E-2</v>
      </c>
      <c r="AA13" s="1" t="s">
        <v>552</v>
      </c>
      <c r="AB13" s="8" t="s">
        <v>737</v>
      </c>
    </row>
    <row r="14" spans="1:103" x14ac:dyDescent="0.3">
      <c r="A14" t="s">
        <v>284</v>
      </c>
      <c r="B14">
        <f>IF(A14="","",_xlfn.XLOOKUP(A14,Tab_base[Nom + Prénom],Tab_base[Puce], ""))</f>
        <v>8542857</v>
      </c>
      <c r="C14" t="str">
        <f>IF(A14="","",_xlfn.XLOOKUP(A14,Tab_base[Nom + Prénom],Tab_base[Court],""))</f>
        <v>H14</v>
      </c>
      <c r="I14" t="s">
        <v>67</v>
      </c>
      <c r="K14" s="5">
        <v>4.8738425925925921E-2</v>
      </c>
      <c r="L14" s="1" t="s">
        <v>1054</v>
      </c>
      <c r="M14" s="8" t="s">
        <v>1055</v>
      </c>
      <c r="X14" t="s">
        <v>1110</v>
      </c>
      <c r="Z14" s="5">
        <v>1.894675925925926E-2</v>
      </c>
      <c r="AA14" s="1" t="s">
        <v>1111</v>
      </c>
      <c r="AB14" s="8" t="s">
        <v>754</v>
      </c>
    </row>
    <row r="15" spans="1:103" x14ac:dyDescent="0.3">
      <c r="A15" t="s">
        <v>305</v>
      </c>
      <c r="B15">
        <f>IF(A15="","",_xlfn.XLOOKUP(A15,Tab_base[Nom + Prénom],Tab_base[Puce], ""))</f>
        <v>8890304</v>
      </c>
      <c r="C15" t="str">
        <f>IF(A15="","",_xlfn.XLOOKUP(A15,Tab_base[Nom + Prénom],Tab_base[Court],""))</f>
        <v>D55</v>
      </c>
      <c r="L15" s="1"/>
      <c r="M15" s="8"/>
      <c r="X15" t="s">
        <v>1119</v>
      </c>
      <c r="Z15" s="5" t="s">
        <v>148</v>
      </c>
      <c r="AA15" s="1"/>
      <c r="AB15" s="8"/>
    </row>
    <row r="16" spans="1:103" x14ac:dyDescent="0.3">
      <c r="A16" t="s">
        <v>308</v>
      </c>
      <c r="B16">
        <f>IF(A16="","",_xlfn.XLOOKUP(A16,Tab_base[Nom + Prénom],Tab_base[Puce], ""))</f>
        <v>8890303</v>
      </c>
      <c r="C16" t="str">
        <f>IF(A16="","",_xlfn.XLOOKUP(A16,Tab_base[Nom + Prénom],Tab_base[Court],""))</f>
        <v>H75</v>
      </c>
      <c r="L16" s="1"/>
      <c r="M16" s="8"/>
      <c r="AC16" t="s">
        <v>1107</v>
      </c>
      <c r="AE16" s="5">
        <v>8.2870370370370372E-2</v>
      </c>
      <c r="AF16" s="1" t="s">
        <v>1108</v>
      </c>
      <c r="AG16" s="8" t="s">
        <v>1109</v>
      </c>
    </row>
    <row r="17" spans="1:33" x14ac:dyDescent="0.3">
      <c r="A17" t="s">
        <v>311</v>
      </c>
      <c r="B17">
        <f>IF(A17="","",_xlfn.XLOOKUP(A17,Tab_base[Nom + Prénom],Tab_base[Puce], ""))</f>
        <v>8547726</v>
      </c>
      <c r="C17" t="str">
        <f>IF(A17="","",_xlfn.XLOOKUP(A17,Tab_base[Nom + Prénom],Tab_base[Court],""))</f>
        <v>H65</v>
      </c>
      <c r="L17" s="1"/>
      <c r="M17" s="8"/>
      <c r="AC17" t="s">
        <v>1106</v>
      </c>
      <c r="AE17" s="5">
        <v>6.2349537037037044E-2</v>
      </c>
      <c r="AF17" s="8" t="s">
        <v>1103</v>
      </c>
      <c r="AG17" s="8" t="s">
        <v>1104</v>
      </c>
    </row>
    <row r="18" spans="1:33" x14ac:dyDescent="0.3">
      <c r="A18" t="s">
        <v>314</v>
      </c>
      <c r="B18">
        <f>IF(A18="","",_xlfn.XLOOKUP(A18,Tab_base[Nom + Prénom],Tab_base[Puce], ""))</f>
        <v>2158056</v>
      </c>
      <c r="C18" t="str">
        <f>IF(A18="","",_xlfn.XLOOKUP(A18,Tab_base[Nom + Prénom],Tab_base[Court],""))</f>
        <v>D40</v>
      </c>
      <c r="N18" t="s">
        <v>1066</v>
      </c>
      <c r="P18" s="5">
        <v>3.8240740740740742E-2</v>
      </c>
      <c r="Q18" s="8" t="s">
        <v>975</v>
      </c>
      <c r="R18" s="8" t="s">
        <v>1067</v>
      </c>
      <c r="S18" t="s">
        <v>1066</v>
      </c>
      <c r="U18" s="5">
        <v>5.2175925925925924E-2</v>
      </c>
      <c r="V18" s="8" t="s">
        <v>1071</v>
      </c>
      <c r="W18" s="8" t="s">
        <v>1101</v>
      </c>
    </row>
    <row r="19" spans="1:33" x14ac:dyDescent="0.3">
      <c r="A19" t="s">
        <v>317</v>
      </c>
      <c r="B19">
        <f>IF(A19="","",_xlfn.XLOOKUP(A19,Tab_base[Nom + Prénom],Tab_base[Puce], ""))</f>
        <v>8890301</v>
      </c>
      <c r="C19" t="str">
        <f>IF(A19="","",_xlfn.XLOOKUP(A19,Tab_base[Nom + Prénom],Tab_base[Court],""))</f>
        <v>D21</v>
      </c>
      <c r="G19" s="4"/>
      <c r="L19" s="4"/>
    </row>
    <row r="20" spans="1:33" x14ac:dyDescent="0.3">
      <c r="A20" t="s">
        <v>322</v>
      </c>
      <c r="B20">
        <f>IF(A20="","",_xlfn.XLOOKUP(A20,Tab_base[Nom + Prénom],Tab_base[Puce], ""))</f>
        <v>8212535</v>
      </c>
      <c r="C20" t="str">
        <f>IF(A20="","",_xlfn.XLOOKUP(A20,Tab_base[Nom + Prénom],Tab_base[Court],""))</f>
        <v>H20</v>
      </c>
      <c r="G20" s="6"/>
      <c r="L20" s="6"/>
      <c r="W20" s="8"/>
      <c r="X20" t="s">
        <v>1112</v>
      </c>
      <c r="Z20" s="5">
        <v>4.2615740740740739E-2</v>
      </c>
      <c r="AA20" s="1" t="s">
        <v>1009</v>
      </c>
      <c r="AB20" s="8" t="s">
        <v>1113</v>
      </c>
    </row>
    <row r="21" spans="1:33" x14ac:dyDescent="0.3">
      <c r="A21" t="s">
        <v>328</v>
      </c>
      <c r="B21">
        <f>IF(A21="","",_xlfn.XLOOKUP(A21,Tab_base[Nom + Prénom],Tab_base[Puce], ""))</f>
        <v>8005961</v>
      </c>
      <c r="C21" t="str">
        <f>IF(A21="","",_xlfn.XLOOKUP(A21,Tab_base[Nom + Prénom],Tab_base[Court],""))</f>
        <v>H65</v>
      </c>
      <c r="D21" t="s">
        <v>95</v>
      </c>
      <c r="F21" s="5">
        <v>3.5439814814814813E-2</v>
      </c>
      <c r="G21" s="1" t="s">
        <v>1051</v>
      </c>
      <c r="H21" s="8" t="s">
        <v>1052</v>
      </c>
      <c r="N21" t="s">
        <v>72</v>
      </c>
      <c r="P21" s="5">
        <v>4.6250000000000006E-2</v>
      </c>
      <c r="Q21" s="8" t="s">
        <v>1061</v>
      </c>
      <c r="R21" s="8" t="s">
        <v>106</v>
      </c>
      <c r="S21" t="s">
        <v>72</v>
      </c>
      <c r="U21" s="5">
        <v>5.7916666666666665E-2</v>
      </c>
      <c r="V21" s="8" t="s">
        <v>1069</v>
      </c>
      <c r="W21" s="8" t="s">
        <v>1099</v>
      </c>
      <c r="X21" t="s">
        <v>1118</v>
      </c>
      <c r="Z21" s="5">
        <v>2.855324074074074E-2</v>
      </c>
      <c r="AA21" s="1" t="s">
        <v>504</v>
      </c>
      <c r="AB21" s="8" t="s">
        <v>1031</v>
      </c>
    </row>
    <row r="22" spans="1:33" x14ac:dyDescent="0.3">
      <c r="A22" t="s">
        <v>343</v>
      </c>
      <c r="B22">
        <f>IF(A22="","",_xlfn.XLOOKUP(A22,Tab_base[Nom + Prénom],Tab_base[Puce], ""))</f>
        <v>8546861</v>
      </c>
      <c r="C22" t="str">
        <f>IF(A22="","",_xlfn.XLOOKUP(A22,Tab_base[Nom + Prénom],Tab_base[Court],""))</f>
        <v>D50</v>
      </c>
      <c r="AC22" t="s">
        <v>1106</v>
      </c>
      <c r="AE22" s="5">
        <v>6.1840277777777779E-2</v>
      </c>
      <c r="AF22" s="1" t="s">
        <v>1026</v>
      </c>
      <c r="AG22" s="8" t="s">
        <v>1105</v>
      </c>
    </row>
    <row r="23" spans="1:33" x14ac:dyDescent="0.3">
      <c r="A23" t="s">
        <v>346</v>
      </c>
      <c r="B23">
        <f>IF(A23="","",_xlfn.XLOOKUP(A23,Tab_base[Nom + Prénom],Tab_base[Puce], ""))</f>
        <v>8509002</v>
      </c>
      <c r="C23" t="str">
        <f>IF(A23="","",_xlfn.XLOOKUP(A23,Tab_base[Nom + Prénom],Tab_base[Court],""))</f>
        <v>H55</v>
      </c>
      <c r="X23" t="s">
        <v>1116</v>
      </c>
      <c r="Z23" s="5">
        <v>2.75E-2</v>
      </c>
      <c r="AA23" s="1" t="s">
        <v>805</v>
      </c>
      <c r="AB23" s="8" t="s">
        <v>1117</v>
      </c>
      <c r="AF23" s="1"/>
      <c r="AG23" s="8"/>
    </row>
    <row r="24" spans="1:33" s="138" customFormat="1" x14ac:dyDescent="0.3"/>
    <row r="25" spans="1:33" x14ac:dyDescent="0.3">
      <c r="B25" t="str">
        <f>IF(A25="","",_xlfn.XLOOKUP(A25,Tab_base[Nom + Prénom],Tab_base[Puce], ""))</f>
        <v/>
      </c>
      <c r="C25" t="str">
        <f>IF(A25="","",_xlfn.XLOOKUP(A25,Tab_base[Nom + Prénom],Tab_base[Court],""))</f>
        <v/>
      </c>
    </row>
    <row r="26" spans="1:33" ht="13.2" customHeight="1" x14ac:dyDescent="0.3">
      <c r="B26" t="str">
        <f>IF(A26="","",_xlfn.XLOOKUP(A26,Tab_base[Nom + Prénom],Tab_base[Puce], ""))</f>
        <v/>
      </c>
      <c r="C26" t="str">
        <f>IF(A26="","",_xlfn.XLOOKUP(A26,Tab_base[Nom + Prénom],Tab_base[Court],""))</f>
        <v/>
      </c>
    </row>
    <row r="33" spans="60:79" x14ac:dyDescent="0.3">
      <c r="BW33"/>
      <c r="BX33" s="3"/>
      <c r="BY33" s="5"/>
      <c r="BZ33"/>
      <c r="CA33" s="7"/>
    </row>
    <row r="37" spans="60:79" x14ac:dyDescent="0.3">
      <c r="BH37"/>
      <c r="BI37"/>
      <c r="BK37"/>
      <c r="BM37"/>
      <c r="BN37"/>
      <c r="BP37"/>
      <c r="BR37"/>
      <c r="BS37"/>
      <c r="BU37"/>
      <c r="BW37"/>
      <c r="BX37"/>
      <c r="BZ37"/>
    </row>
    <row r="43" spans="60:79" x14ac:dyDescent="0.3">
      <c r="BW43"/>
      <c r="BX43"/>
      <c r="BZ43"/>
    </row>
    <row r="44" spans="60:79" x14ac:dyDescent="0.3">
      <c r="BW44"/>
      <c r="BX44"/>
      <c r="BZ44"/>
    </row>
    <row r="45" spans="60:79" x14ac:dyDescent="0.3">
      <c r="BW45"/>
      <c r="BX45"/>
      <c r="BZ45"/>
    </row>
    <row r="46" spans="60:79" x14ac:dyDescent="0.3">
      <c r="BW46"/>
      <c r="BX46"/>
      <c r="BZ46"/>
    </row>
    <row r="47" spans="60:79" x14ac:dyDescent="0.3">
      <c r="BW47"/>
      <c r="BX47"/>
      <c r="BZ47"/>
    </row>
    <row r="48" spans="60:79" x14ac:dyDescent="0.3">
      <c r="BW48"/>
      <c r="BX48"/>
      <c r="BZ48"/>
    </row>
    <row r="49" spans="75:78" x14ac:dyDescent="0.3">
      <c r="BW49"/>
      <c r="BX49"/>
      <c r="BZ49"/>
    </row>
    <row r="50" spans="75:78" x14ac:dyDescent="0.3">
      <c r="BW50"/>
      <c r="BX50"/>
      <c r="BZ50"/>
    </row>
    <row r="54" spans="75:78" x14ac:dyDescent="0.3">
      <c r="BW5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979966-F5C7-4347-8ED4-739F8A4C341B}">
          <x14:formula1>
            <xm:f>base!$Y$2:$Y$93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02D67-6D4D-44A5-9B56-C20D8337A956}">
  <sheetPr codeName="Feuil11"/>
  <dimension ref="A1:OV63"/>
  <sheetViews>
    <sheetView workbookViewId="0">
      <pane xSplit="3" ySplit="2" topLeftCell="D9" activePane="bottomRight" state="frozen"/>
      <selection pane="topRight" activeCell="D1" sqref="D1"/>
      <selection pane="bottomLeft" activeCell="A3" sqref="A3"/>
      <selection pane="bottomRight" activeCell="BG12" sqref="BG12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5.44140625" customWidth="1"/>
    <col min="4" max="4" width="12" customWidth="1"/>
    <col min="5" max="5" width="6.109375" style="3" bestFit="1" customWidth="1"/>
    <col min="6" max="6" width="9.109375" style="5" bestFit="1" customWidth="1"/>
    <col min="7" max="7" width="7.44140625" customWidth="1"/>
    <col min="8" max="8" width="8.109375" style="7" bestFit="1" customWidth="1"/>
    <col min="9" max="9" width="16.109375" customWidth="1"/>
    <col min="10" max="10" width="6.109375" style="3" bestFit="1" customWidth="1"/>
    <col min="11" max="11" width="7.109375" style="5" bestFit="1" customWidth="1"/>
    <col min="12" max="12" width="6.88671875" bestFit="1" customWidth="1"/>
    <col min="13" max="13" width="8.109375" style="7" bestFit="1" customWidth="1"/>
    <col min="14" max="14" width="12.44140625" customWidth="1"/>
    <col min="15" max="15" width="6.109375" style="3" bestFit="1" customWidth="1"/>
    <col min="16" max="16" width="7.109375" style="5" bestFit="1" customWidth="1"/>
    <col min="17" max="17" width="5.77734375" style="7" bestFit="1" customWidth="1"/>
    <col min="18" max="18" width="8.109375" style="7" bestFit="1" customWidth="1"/>
    <col min="19" max="19" width="6.6640625" customWidth="1"/>
    <col min="20" max="20" width="6.109375" style="3" bestFit="1" customWidth="1"/>
    <col min="21" max="21" width="8.109375" style="5" bestFit="1" customWidth="1"/>
    <col min="22" max="22" width="6.5546875" style="7" bestFit="1" customWidth="1"/>
    <col min="23" max="23" width="8.109375" style="7" bestFit="1" customWidth="1"/>
    <col min="24" max="24" width="8.44140625" customWidth="1"/>
    <col min="25" max="25" width="6.109375" style="3" bestFit="1" customWidth="1"/>
    <col min="26" max="26" width="7.109375" style="5" bestFit="1" customWidth="1"/>
    <col min="27" max="27" width="5.77734375" bestFit="1" customWidth="1"/>
    <col min="28" max="28" width="6.77734375" style="7" bestFit="1" customWidth="1"/>
    <col min="29" max="29" width="27.77734375" bestFit="1" customWidth="1"/>
    <col min="30" max="30" width="6.109375" style="3" bestFit="1" customWidth="1"/>
    <col min="31" max="31" width="7.109375" style="5" bestFit="1" customWidth="1"/>
    <col min="32" max="32" width="4.5546875" bestFit="1" customWidth="1"/>
    <col min="33" max="33" width="5.21875" style="7" bestFit="1" customWidth="1"/>
    <col min="34" max="34" width="26.88671875" bestFit="1" customWidth="1"/>
    <col min="35" max="35" width="6.109375" style="3" bestFit="1" customWidth="1"/>
    <col min="36" max="36" width="7.109375" style="5" bestFit="1" customWidth="1"/>
    <col min="37" max="37" width="7.77734375" bestFit="1" customWidth="1"/>
    <col min="38" max="38" width="6.77734375" style="7" bestFit="1" customWidth="1"/>
    <col min="39" max="39" width="24.44140625" bestFit="1" customWidth="1"/>
    <col min="40" max="40" width="6.109375" style="3" bestFit="1" customWidth="1"/>
    <col min="41" max="41" width="7.109375" style="5" bestFit="1" customWidth="1"/>
    <col min="42" max="42" width="6.77734375" bestFit="1" customWidth="1"/>
    <col min="43" max="43" width="6.77734375" style="7" bestFit="1" customWidth="1"/>
    <col min="44" max="44" width="38.21875" bestFit="1" customWidth="1"/>
    <col min="45" max="45" width="6.109375" style="3" bestFit="1" customWidth="1"/>
    <col min="46" max="46" width="7.109375" style="5" bestFit="1" customWidth="1"/>
    <col min="47" max="47" width="7.77734375" bestFit="1" customWidth="1"/>
    <col min="48" max="48" width="6.777343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6.77734375" bestFit="1" customWidth="1"/>
    <col min="58" max="58" width="8.1093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8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14.77734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  <col min="104" max="412" width="9.109375" style="137"/>
  </cols>
  <sheetData>
    <row r="1" spans="1:103" x14ac:dyDescent="0.3">
      <c r="A1" t="s">
        <v>0</v>
      </c>
      <c r="D1" t="s">
        <v>883</v>
      </c>
      <c r="I1" t="s">
        <v>884</v>
      </c>
      <c r="N1" t="s">
        <v>885</v>
      </c>
      <c r="S1" t="s">
        <v>886</v>
      </c>
      <c r="X1" t="s">
        <v>887</v>
      </c>
      <c r="AC1" t="s">
        <v>888</v>
      </c>
      <c r="AH1" t="s">
        <v>889</v>
      </c>
      <c r="AM1" t="s">
        <v>890</v>
      </c>
      <c r="AR1" t="s">
        <v>891</v>
      </c>
      <c r="AW1" t="s">
        <v>892</v>
      </c>
      <c r="BB1" t="s">
        <v>893</v>
      </c>
      <c r="BG1" t="s">
        <v>894</v>
      </c>
    </row>
    <row r="2" spans="1:103" x14ac:dyDescent="0.3">
      <c r="A2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5" t="s">
        <v>17</v>
      </c>
      <c r="Q2" s="7" t="s">
        <v>18</v>
      </c>
      <c r="R2" s="7" t="s">
        <v>499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498</v>
      </c>
      <c r="X2" t="s">
        <v>23</v>
      </c>
      <c r="Y2" s="3" t="s">
        <v>24</v>
      </c>
      <c r="Z2" s="5" t="s">
        <v>25</v>
      </c>
      <c r="AA2" t="s">
        <v>26</v>
      </c>
      <c r="AB2" s="7" t="s">
        <v>486</v>
      </c>
      <c r="AC2" t="s">
        <v>27</v>
      </c>
      <c r="AD2" s="3" t="s">
        <v>28</v>
      </c>
      <c r="AE2" s="5" t="s">
        <v>29</v>
      </c>
      <c r="AF2" t="s">
        <v>30</v>
      </c>
      <c r="AG2" s="7" t="s">
        <v>487</v>
      </c>
      <c r="AH2" t="s">
        <v>31</v>
      </c>
      <c r="AI2" s="3" t="s">
        <v>32</v>
      </c>
      <c r="AJ2" s="5" t="s">
        <v>33</v>
      </c>
      <c r="AK2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  <c r="AW2" t="s">
        <v>43</v>
      </c>
      <c r="AX2" s="3" t="s">
        <v>44</v>
      </c>
      <c r="AY2" s="5" t="s">
        <v>45</v>
      </c>
      <c r="AZ2" t="s">
        <v>46</v>
      </c>
      <c r="BA2" s="7" t="s">
        <v>497</v>
      </c>
      <c r="BB2" t="s">
        <v>47</v>
      </c>
      <c r="BC2" s="3" t="s">
        <v>48</v>
      </c>
      <c r="BD2" s="5" t="s">
        <v>49</v>
      </c>
      <c r="BE2" t="s">
        <v>50</v>
      </c>
      <c r="BF2" s="7" t="s">
        <v>496</v>
      </c>
      <c r="BG2" t="s">
        <v>51</v>
      </c>
      <c r="BH2" s="3" t="s">
        <v>52</v>
      </c>
      <c r="BI2" s="5" t="s">
        <v>53</v>
      </c>
      <c r="BJ2" t="s">
        <v>54</v>
      </c>
      <c r="BK2" s="7" t="s">
        <v>495</v>
      </c>
      <c r="BL2" t="s">
        <v>55</v>
      </c>
      <c r="BM2" s="3" t="s">
        <v>56</v>
      </c>
      <c r="BN2" s="5" t="s">
        <v>57</v>
      </c>
      <c r="BO2" t="s">
        <v>58</v>
      </c>
      <c r="BP2" s="7" t="s">
        <v>494</v>
      </c>
      <c r="BQ2" t="s">
        <v>59</v>
      </c>
      <c r="BR2" s="3" t="s">
        <v>60</v>
      </c>
      <c r="BS2" s="5" t="s">
        <v>61</v>
      </c>
      <c r="BT2" t="s">
        <v>62</v>
      </c>
      <c r="BU2" s="7" t="s">
        <v>493</v>
      </c>
      <c r="BV2" t="s">
        <v>63</v>
      </c>
      <c r="BW2" s="3" t="s">
        <v>64</v>
      </c>
      <c r="BX2" s="5" t="s">
        <v>65</v>
      </c>
      <c r="BY2" t="s">
        <v>66</v>
      </c>
      <c r="BZ2" s="7" t="s">
        <v>492</v>
      </c>
      <c r="CA2" t="s">
        <v>524</v>
      </c>
      <c r="CB2" s="3" t="s">
        <v>525</v>
      </c>
      <c r="CC2" s="5" t="s">
        <v>526</v>
      </c>
      <c r="CD2" t="s">
        <v>527</v>
      </c>
      <c r="CE2" s="7" t="s">
        <v>528</v>
      </c>
      <c r="CF2" t="s">
        <v>530</v>
      </c>
      <c r="CG2" s="3" t="s">
        <v>531</v>
      </c>
      <c r="CH2" s="5" t="s">
        <v>532</v>
      </c>
      <c r="CI2" t="s">
        <v>533</v>
      </c>
      <c r="CJ2" s="7" t="s">
        <v>534</v>
      </c>
      <c r="CK2" t="s">
        <v>537</v>
      </c>
      <c r="CL2" t="s">
        <v>538</v>
      </c>
      <c r="CM2" t="s">
        <v>539</v>
      </c>
      <c r="CN2" t="s">
        <v>541</v>
      </c>
      <c r="CO2" t="s">
        <v>540</v>
      </c>
      <c r="CP2" t="s">
        <v>543</v>
      </c>
      <c r="CQ2" t="s">
        <v>544</v>
      </c>
      <c r="CR2" t="s">
        <v>545</v>
      </c>
      <c r="CS2" t="s">
        <v>546</v>
      </c>
      <c r="CT2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A3" t="s">
        <v>213</v>
      </c>
      <c r="B3">
        <f>IF(A3="","",_xlfn.XLOOKUP(A3,Tab_base[Nom + Prénom],Tab_base[Puce], ""))</f>
        <v>8018903</v>
      </c>
      <c r="C3" t="str">
        <f>IF(A3="","",_xlfn.XLOOKUP(A3,Tab_base[Nom + Prénom],Tab_base[Court],""))</f>
        <v>H55</v>
      </c>
      <c r="D3" t="s">
        <v>78</v>
      </c>
      <c r="F3" s="5">
        <v>3.2569444444444443E-2</v>
      </c>
      <c r="G3" s="1" t="s">
        <v>970</v>
      </c>
      <c r="H3" s="8" t="s">
        <v>965</v>
      </c>
      <c r="M3" s="8"/>
      <c r="V3" s="8"/>
      <c r="W3" s="8"/>
      <c r="BG3" t="s">
        <v>93</v>
      </c>
      <c r="CB3" s="3"/>
      <c r="CC3" s="5"/>
      <c r="CE3" s="7"/>
      <c r="CG3" s="3"/>
      <c r="CH3" s="5"/>
      <c r="CJ3" s="7"/>
    </row>
    <row r="4" spans="1:103" s="137" customFormat="1" x14ac:dyDescent="0.3">
      <c r="A4" t="s">
        <v>217</v>
      </c>
      <c r="B4">
        <f>IF(A4="","",_xlfn.XLOOKUP(A4,Tab_base[Nom + Prénom],Tab_base[Puce], ""))</f>
        <v>8050858</v>
      </c>
      <c r="C4" t="str">
        <f>IF(A4="","",_xlfn.XLOOKUP(A4,Tab_base[Nom + Prénom],Tab_base[Court],""))</f>
        <v>H65</v>
      </c>
      <c r="D4" t="s">
        <v>97</v>
      </c>
      <c r="E4" s="3"/>
      <c r="F4" s="5">
        <v>3.5370370370370365E-2</v>
      </c>
      <c r="G4" s="1" t="s">
        <v>975</v>
      </c>
      <c r="H4" s="8" t="s">
        <v>976</v>
      </c>
      <c r="I4"/>
      <c r="J4" s="3"/>
      <c r="K4" s="5"/>
      <c r="L4" s="1"/>
      <c r="M4" s="8"/>
      <c r="N4"/>
      <c r="O4" s="3"/>
      <c r="P4" s="5"/>
      <c r="Q4" s="7"/>
      <c r="R4" s="7"/>
      <c r="S4" t="s">
        <v>69</v>
      </c>
      <c r="T4" s="3"/>
      <c r="U4" s="5">
        <v>5.4479166666666669E-2</v>
      </c>
      <c r="V4" s="8" t="s">
        <v>102</v>
      </c>
      <c r="W4" s="8" t="s">
        <v>1007</v>
      </c>
      <c r="X4" t="s">
        <v>1013</v>
      </c>
      <c r="Y4" s="3"/>
      <c r="Z4" s="5">
        <v>1.9791666666666666E-2</v>
      </c>
      <c r="AA4" s="1" t="s">
        <v>1017</v>
      </c>
      <c r="AB4" s="8" t="s">
        <v>1016</v>
      </c>
      <c r="AC4"/>
      <c r="AD4" s="3"/>
      <c r="AE4" s="5"/>
      <c r="AF4"/>
      <c r="AG4" s="7"/>
      <c r="AH4"/>
      <c r="AI4" s="3"/>
      <c r="AJ4" s="5"/>
      <c r="AK4"/>
      <c r="AL4" s="7"/>
      <c r="AM4"/>
      <c r="AN4" s="3"/>
      <c r="AO4" s="5"/>
      <c r="AP4"/>
      <c r="AQ4" s="7"/>
      <c r="AR4"/>
      <c r="AS4" s="3"/>
      <c r="AT4" s="5"/>
      <c r="AU4"/>
      <c r="AV4" s="7"/>
      <c r="AW4"/>
      <c r="AX4" s="3"/>
      <c r="AY4" s="5"/>
      <c r="AZ4"/>
      <c r="BA4" s="7"/>
      <c r="BB4"/>
      <c r="BC4" s="3"/>
      <c r="BD4" s="5"/>
      <c r="BE4"/>
      <c r="BF4" s="7"/>
      <c r="BG4" t="s">
        <v>93</v>
      </c>
      <c r="BH4" s="3"/>
      <c r="BI4" s="5"/>
      <c r="BJ4"/>
      <c r="BK4" s="7"/>
      <c r="BL4"/>
      <c r="BM4" s="3"/>
      <c r="BN4" s="5"/>
      <c r="BO4"/>
      <c r="BP4" s="7"/>
      <c r="BQ4"/>
      <c r="BR4" s="3"/>
      <c r="BS4" s="5"/>
      <c r="BT4"/>
      <c r="BU4" s="7"/>
      <c r="BV4"/>
      <c r="BW4" s="3"/>
      <c r="BX4" s="5"/>
      <c r="BY4"/>
      <c r="BZ4" s="7"/>
      <c r="CA4"/>
      <c r="CB4" s="3"/>
      <c r="CC4" s="5"/>
      <c r="CD4"/>
      <c r="CE4" s="7"/>
      <c r="CF4"/>
      <c r="CG4" s="3"/>
      <c r="CH4" s="5"/>
      <c r="CI4"/>
      <c r="CJ4" s="7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</row>
    <row r="5" spans="1:103" s="137" customFormat="1" x14ac:dyDescent="0.3">
      <c r="A5" t="s">
        <v>220</v>
      </c>
      <c r="B5">
        <f>IF(A5="","",_xlfn.XLOOKUP(A5,Tab_base[Nom + Prénom],Tab_base[Puce], ""))</f>
        <v>2158059</v>
      </c>
      <c r="C5" t="str">
        <f>IF(A5="","",_xlfn.XLOOKUP(A5,Tab_base[Nom + Prénom],Tab_base[Court],""))</f>
        <v>D40</v>
      </c>
      <c r="E5" s="3"/>
      <c r="I5" t="s">
        <v>615</v>
      </c>
      <c r="J5" s="3"/>
      <c r="K5" s="5">
        <v>5.67824074074074E-2</v>
      </c>
      <c r="L5" s="1" t="s">
        <v>981</v>
      </c>
      <c r="M5" s="8" t="s">
        <v>980</v>
      </c>
      <c r="N5"/>
      <c r="O5" s="3"/>
      <c r="P5" s="5"/>
      <c r="Q5" s="7"/>
      <c r="R5" s="7"/>
      <c r="S5"/>
      <c r="T5" s="3"/>
      <c r="U5" s="5"/>
      <c r="V5" s="8"/>
      <c r="W5" s="8"/>
      <c r="X5"/>
      <c r="Y5" s="3"/>
      <c r="Z5" s="5"/>
      <c r="AA5"/>
      <c r="AB5" s="7"/>
      <c r="AC5"/>
      <c r="AD5" s="3"/>
      <c r="AE5" s="5"/>
      <c r="AF5"/>
      <c r="AG5" s="7"/>
      <c r="AH5"/>
      <c r="AI5" s="3"/>
      <c r="AJ5" s="5"/>
      <c r="AK5"/>
      <c r="AL5" s="7"/>
      <c r="AM5"/>
      <c r="AN5" s="3"/>
      <c r="AO5" s="5"/>
      <c r="AP5"/>
      <c r="AQ5" s="7"/>
      <c r="AR5"/>
      <c r="AS5" s="3"/>
      <c r="AT5" s="5"/>
      <c r="AU5"/>
      <c r="AV5" s="7"/>
      <c r="AW5"/>
      <c r="AX5" s="3"/>
      <c r="AY5" s="5"/>
      <c r="AZ5"/>
      <c r="BA5" s="7"/>
      <c r="BB5"/>
      <c r="BC5" s="3"/>
      <c r="BD5" s="5"/>
      <c r="BE5"/>
      <c r="BF5" s="7"/>
      <c r="BG5" t="s">
        <v>93</v>
      </c>
      <c r="BH5" s="3"/>
      <c r="BI5" s="5"/>
      <c r="BJ5"/>
      <c r="BK5" s="7"/>
      <c r="BL5"/>
      <c r="BM5" s="3"/>
      <c r="BN5" s="5"/>
      <c r="BO5"/>
      <c r="BP5" s="7"/>
      <c r="BQ5"/>
      <c r="BR5" s="3"/>
      <c r="BS5" s="5"/>
      <c r="BT5"/>
      <c r="BU5" s="7"/>
      <c r="BV5"/>
      <c r="BW5" s="3"/>
      <c r="BX5" s="5"/>
      <c r="BY5"/>
      <c r="BZ5" s="7"/>
      <c r="CA5"/>
      <c r="CB5" s="3"/>
      <c r="CC5" s="5"/>
      <c r="CD5"/>
      <c r="CE5" s="7"/>
      <c r="CF5"/>
      <c r="CG5" s="3"/>
      <c r="CH5" s="5"/>
      <c r="CI5"/>
      <c r="CJ5" s="7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</row>
    <row r="6" spans="1:103" s="137" customFormat="1" x14ac:dyDescent="0.3">
      <c r="A6" t="s">
        <v>223</v>
      </c>
      <c r="B6">
        <f>IF(A6="","",_xlfn.XLOOKUP(A6,Tab_base[Nom + Prénom],Tab_base[Puce], ""))</f>
        <v>8581786</v>
      </c>
      <c r="C6" t="str">
        <f>IF(A6="","",_xlfn.XLOOKUP(A6,Tab_base[Nom + Prénom],Tab_base[Court],""))</f>
        <v>H21</v>
      </c>
      <c r="D6"/>
      <c r="E6" s="3"/>
      <c r="F6" s="5"/>
      <c r="G6" s="1"/>
      <c r="H6" s="8"/>
      <c r="I6"/>
      <c r="J6" s="3"/>
      <c r="K6" s="5"/>
      <c r="L6" s="1"/>
      <c r="M6" s="8"/>
      <c r="N6"/>
      <c r="O6" s="3"/>
      <c r="P6" s="5"/>
      <c r="Q6" s="7"/>
      <c r="R6" s="7"/>
      <c r="S6"/>
      <c r="T6" s="3"/>
      <c r="U6" s="5"/>
      <c r="V6" s="7"/>
      <c r="W6" s="7"/>
      <c r="X6"/>
      <c r="Y6" s="3"/>
      <c r="Z6" s="5"/>
      <c r="AA6"/>
      <c r="AB6" s="7"/>
      <c r="AC6"/>
      <c r="AD6" s="3"/>
      <c r="AE6" s="5"/>
      <c r="AF6"/>
      <c r="AG6" s="7"/>
      <c r="AH6"/>
      <c r="AI6" s="3"/>
      <c r="AJ6" s="5"/>
      <c r="AK6"/>
      <c r="AL6" s="7"/>
      <c r="AM6"/>
      <c r="AN6" s="3"/>
      <c r="AO6" s="5"/>
      <c r="AP6"/>
      <c r="AQ6" s="7"/>
      <c r="AR6"/>
      <c r="AS6" s="3"/>
      <c r="AT6" s="5"/>
      <c r="AU6"/>
      <c r="AV6" s="7"/>
      <c r="AW6"/>
      <c r="AX6" s="3"/>
      <c r="AY6" s="5"/>
      <c r="AZ6"/>
      <c r="BA6" s="7"/>
      <c r="BB6"/>
      <c r="BC6" s="3"/>
      <c r="BD6" s="5"/>
      <c r="BE6"/>
      <c r="BF6" s="7"/>
      <c r="BG6" t="s">
        <v>93</v>
      </c>
      <c r="BH6" s="3"/>
      <c r="BI6" s="5"/>
      <c r="BJ6"/>
      <c r="BK6" s="7"/>
      <c r="BL6"/>
      <c r="BM6" s="3"/>
      <c r="BN6" s="5"/>
      <c r="BO6"/>
      <c r="BP6" s="7"/>
      <c r="BQ6"/>
      <c r="BR6" s="3"/>
      <c r="BS6" s="5"/>
      <c r="BT6"/>
      <c r="BU6" s="7"/>
      <c r="BV6"/>
      <c r="BW6" s="3"/>
      <c r="BX6" s="5"/>
      <c r="BY6"/>
      <c r="BZ6" s="7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</row>
    <row r="7" spans="1:103" s="137" customFormat="1" x14ac:dyDescent="0.3">
      <c r="A7" t="s">
        <v>228</v>
      </c>
      <c r="B7">
        <f>IF(A7="","",_xlfn.XLOOKUP(A7,Tab_base[Nom + Prénom],Tab_base[Puce], ""))</f>
        <v>8500492</v>
      </c>
      <c r="C7" t="str">
        <f>IF(A7="","",_xlfn.XLOOKUP(A7,Tab_base[Nom + Prénom],Tab_base[Court],""))</f>
        <v>H18</v>
      </c>
      <c r="D7"/>
      <c r="E7" s="3"/>
      <c r="F7" s="5"/>
      <c r="G7" s="1"/>
      <c r="H7" s="8"/>
      <c r="I7"/>
      <c r="J7" s="3"/>
      <c r="K7" s="5"/>
      <c r="L7" s="1"/>
      <c r="M7" s="8"/>
      <c r="N7"/>
      <c r="O7" s="3"/>
      <c r="P7" s="5"/>
      <c r="Q7" s="7"/>
      <c r="R7" s="7"/>
      <c r="S7"/>
      <c r="T7" s="3"/>
      <c r="U7" s="5"/>
      <c r="V7" s="8"/>
      <c r="W7" s="7"/>
      <c r="X7"/>
      <c r="Y7" s="3"/>
      <c r="Z7" s="5"/>
      <c r="AA7"/>
      <c r="AB7" s="7"/>
      <c r="AC7"/>
      <c r="AD7" s="3"/>
      <c r="AE7" s="5"/>
      <c r="AF7"/>
      <c r="AG7" s="7"/>
      <c r="AH7"/>
      <c r="AI7" s="3"/>
      <c r="AJ7" s="5"/>
      <c r="AK7"/>
      <c r="AL7" s="7"/>
      <c r="AM7"/>
      <c r="AN7" s="3"/>
      <c r="AO7" s="5"/>
      <c r="AP7"/>
      <c r="AQ7" s="7"/>
      <c r="AR7"/>
      <c r="AS7" s="3"/>
      <c r="AT7" s="5"/>
      <c r="AU7"/>
      <c r="AV7" s="7"/>
      <c r="AW7"/>
      <c r="AX7" s="3"/>
      <c r="AY7" s="5"/>
      <c r="AZ7"/>
      <c r="BA7" s="7"/>
      <c r="BB7"/>
      <c r="BC7" s="3"/>
      <c r="BD7" s="5"/>
      <c r="BE7"/>
      <c r="BF7" s="7"/>
      <c r="BG7" t="s">
        <v>93</v>
      </c>
      <c r="BH7" s="3"/>
      <c r="BI7" s="5"/>
      <c r="BJ7"/>
      <c r="BK7" s="7"/>
      <c r="BL7"/>
      <c r="BM7" s="3"/>
      <c r="BN7" s="5"/>
      <c r="BO7"/>
      <c r="BP7" s="7"/>
      <c r="BQ7"/>
      <c r="BR7" s="3"/>
      <c r="BS7" s="5"/>
      <c r="BT7"/>
      <c r="BU7" s="7"/>
      <c r="BV7"/>
      <c r="BW7" s="3"/>
      <c r="BX7" s="5"/>
      <c r="BY7"/>
      <c r="BZ7" s="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</row>
    <row r="8" spans="1:103" s="137" customFormat="1" x14ac:dyDescent="0.3">
      <c r="A8" t="s">
        <v>231</v>
      </c>
      <c r="B8">
        <f>IF(A8="","",_xlfn.XLOOKUP(A8,Tab_base[Nom + Prénom],Tab_base[Puce], ""))</f>
        <v>8500434</v>
      </c>
      <c r="C8" t="str">
        <f>IF(A8="","",_xlfn.XLOOKUP(A8,Tab_base[Nom + Prénom],Tab_base[Court],""))</f>
        <v>H45</v>
      </c>
      <c r="D8"/>
      <c r="E8" s="3"/>
      <c r="F8" s="5"/>
      <c r="G8" s="1"/>
      <c r="H8" s="8"/>
      <c r="I8"/>
      <c r="J8" s="3"/>
      <c r="K8" s="5"/>
      <c r="L8" s="1"/>
      <c r="M8" s="8"/>
      <c r="N8"/>
      <c r="O8" s="3"/>
      <c r="P8" s="5"/>
      <c r="Q8" s="7"/>
      <c r="R8" s="7"/>
      <c r="S8"/>
      <c r="T8" s="3"/>
      <c r="U8" s="5"/>
      <c r="V8" s="8"/>
      <c r="W8" s="8"/>
      <c r="X8"/>
      <c r="Y8" s="3"/>
      <c r="Z8" s="5"/>
      <c r="AA8"/>
      <c r="AB8" s="7"/>
      <c r="AC8"/>
      <c r="AD8" s="3"/>
      <c r="AE8" s="5"/>
      <c r="AF8"/>
      <c r="AG8" s="7"/>
      <c r="AH8"/>
      <c r="AI8" s="3"/>
      <c r="AJ8" s="5"/>
      <c r="AK8"/>
      <c r="AL8" s="7"/>
      <c r="AM8"/>
      <c r="AN8" s="3"/>
      <c r="AO8" s="5"/>
      <c r="AP8"/>
      <c r="AQ8" s="7"/>
      <c r="AR8"/>
      <c r="AS8" s="3"/>
      <c r="AT8" s="5"/>
      <c r="AU8"/>
      <c r="AV8" s="7"/>
      <c r="AW8"/>
      <c r="AX8" s="3"/>
      <c r="AY8" s="5"/>
      <c r="AZ8"/>
      <c r="BA8" s="7"/>
      <c r="BB8"/>
      <c r="BC8" s="3"/>
      <c r="BD8" s="5"/>
      <c r="BE8"/>
      <c r="BF8" s="7"/>
      <c r="BG8" t="s">
        <v>93</v>
      </c>
      <c r="BH8" s="3"/>
      <c r="BI8" s="5"/>
      <c r="BJ8"/>
      <c r="BK8" s="7"/>
      <c r="BL8"/>
      <c r="BM8" s="3"/>
      <c r="BN8" s="5"/>
      <c r="BO8"/>
      <c r="BP8" s="7"/>
      <c r="BQ8"/>
      <c r="BR8" s="3"/>
      <c r="BS8" s="5"/>
      <c r="BT8"/>
      <c r="BU8" s="7"/>
      <c r="BV8"/>
      <c r="BW8" s="3"/>
      <c r="BX8" s="5"/>
      <c r="BY8"/>
      <c r="BZ8" s="7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</row>
    <row r="9" spans="1:103" s="137" customFormat="1" x14ac:dyDescent="0.3">
      <c r="A9" t="s">
        <v>234</v>
      </c>
      <c r="B9">
        <f>IF(A9="","",_xlfn.XLOOKUP(A9,Tab_base[Nom + Prénom],Tab_base[Puce], ""))</f>
        <v>8161718</v>
      </c>
      <c r="C9" t="str">
        <f>IF(A9="","",_xlfn.XLOOKUP(A9,Tab_base[Nom + Prénom],Tab_base[Court],""))</f>
        <v>D20</v>
      </c>
      <c r="D9"/>
      <c r="E9" s="3"/>
      <c r="F9" s="5"/>
      <c r="G9" s="1"/>
      <c r="H9" s="8"/>
      <c r="I9"/>
      <c r="J9" s="3"/>
      <c r="K9" s="5"/>
      <c r="L9" s="1"/>
      <c r="M9" s="8"/>
      <c r="N9"/>
      <c r="O9" s="3"/>
      <c r="P9" s="5"/>
      <c r="Q9" s="7"/>
      <c r="R9" s="7"/>
      <c r="S9" t="s">
        <v>71</v>
      </c>
      <c r="T9" s="3"/>
      <c r="U9" s="141">
        <v>4.1516203703703701E-2</v>
      </c>
      <c r="V9" s="38" t="s">
        <v>867</v>
      </c>
      <c r="W9" s="8" t="s">
        <v>1002</v>
      </c>
      <c r="X9" t="s">
        <v>686</v>
      </c>
      <c r="Y9" s="3"/>
      <c r="Z9" s="5">
        <v>1.545138888888889E-2</v>
      </c>
      <c r="AA9" s="1" t="s">
        <v>197</v>
      </c>
      <c r="AB9" s="8" t="s">
        <v>1021</v>
      </c>
      <c r="AC9"/>
      <c r="AD9" s="3"/>
      <c r="AE9" s="5"/>
      <c r="AF9"/>
      <c r="AG9" s="7"/>
      <c r="AH9"/>
      <c r="AI9" s="3"/>
      <c r="AJ9" s="5"/>
      <c r="AK9"/>
      <c r="AL9" s="7"/>
      <c r="AM9"/>
      <c r="AN9" s="3"/>
      <c r="AO9" s="5"/>
      <c r="AP9"/>
      <c r="AQ9" s="7"/>
      <c r="AR9"/>
      <c r="AS9" s="3"/>
      <c r="AT9" s="5"/>
      <c r="AU9"/>
      <c r="AV9" s="7"/>
      <c r="AW9"/>
      <c r="AX9" s="3"/>
      <c r="AY9" s="5"/>
      <c r="AZ9"/>
      <c r="BA9" s="7"/>
      <c r="BB9"/>
      <c r="BC9" s="3"/>
      <c r="BD9" s="5"/>
      <c r="BE9"/>
      <c r="BF9" s="7"/>
      <c r="BG9" t="s">
        <v>93</v>
      </c>
      <c r="BH9" s="3"/>
      <c r="BI9" s="5"/>
      <c r="BJ9"/>
      <c r="BK9" s="7"/>
      <c r="BL9"/>
      <c r="BM9" s="3"/>
      <c r="BN9" s="5"/>
      <c r="BO9"/>
      <c r="BP9" s="7"/>
      <c r="BQ9"/>
      <c r="BR9" s="3"/>
      <c r="BS9" s="5"/>
      <c r="BT9"/>
      <c r="BU9" s="7"/>
      <c r="BV9"/>
      <c r="BW9" s="3"/>
      <c r="BX9" s="5"/>
      <c r="BY9"/>
      <c r="BZ9" s="7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</row>
    <row r="10" spans="1:103" s="137" customFormat="1" x14ac:dyDescent="0.3">
      <c r="A10" t="s">
        <v>236</v>
      </c>
      <c r="B10">
        <f>IF(A10="","",_xlfn.XLOOKUP(A10,Tab_base[Nom + Prénom],Tab_base[Puce], ""))</f>
        <v>8171016</v>
      </c>
      <c r="C10" t="str">
        <f>IF(A10="","",_xlfn.XLOOKUP(A10,Tab_base[Nom + Prénom],Tab_base[Court],""))</f>
        <v>D20</v>
      </c>
      <c r="D10"/>
      <c r="E10" s="3"/>
      <c r="F10" s="5"/>
      <c r="G10" s="1"/>
      <c r="H10" s="8"/>
      <c r="I10"/>
      <c r="J10" s="3"/>
      <c r="K10" s="5"/>
      <c r="L10" s="1"/>
      <c r="M10" s="8"/>
      <c r="N10"/>
      <c r="O10" s="3"/>
      <c r="P10" s="5"/>
      <c r="Q10" s="7"/>
      <c r="R10" s="7"/>
      <c r="S10" t="s">
        <v>71</v>
      </c>
      <c r="T10" s="3"/>
      <c r="U10" s="141">
        <v>3.2094907407407412E-2</v>
      </c>
      <c r="V10" s="38" t="s">
        <v>1001</v>
      </c>
      <c r="W10" s="8" t="s">
        <v>965</v>
      </c>
      <c r="X10" t="s">
        <v>686</v>
      </c>
      <c r="Y10" s="3"/>
      <c r="Z10" s="5">
        <v>1.2662037037037039E-2</v>
      </c>
      <c r="AA10" s="1" t="s">
        <v>1020</v>
      </c>
      <c r="AB10" s="8" t="s">
        <v>1022</v>
      </c>
      <c r="AC10"/>
      <c r="AD10" s="3"/>
      <c r="AE10" s="5"/>
      <c r="AF10"/>
      <c r="AG10" s="7"/>
      <c r="AH10"/>
      <c r="AI10" s="3"/>
      <c r="AJ10" s="5"/>
      <c r="AK10"/>
      <c r="AL10" s="7"/>
      <c r="AM10"/>
      <c r="AN10" s="3"/>
      <c r="AO10" s="5"/>
      <c r="AP10"/>
      <c r="AQ10" s="7"/>
      <c r="AR10"/>
      <c r="AS10" s="3"/>
      <c r="AT10" s="5"/>
      <c r="AU10"/>
      <c r="AV10" s="7"/>
      <c r="AW10"/>
      <c r="AX10" s="3"/>
      <c r="AY10" s="5"/>
      <c r="AZ10"/>
      <c r="BA10" s="7"/>
      <c r="BB10"/>
      <c r="BC10" s="3"/>
      <c r="BD10" s="5"/>
      <c r="BE10"/>
      <c r="BF10" s="7"/>
      <c r="BG10" t="s">
        <v>93</v>
      </c>
      <c r="BH10" s="3"/>
      <c r="BI10" s="5"/>
      <c r="BJ10"/>
      <c r="BK10" s="7"/>
      <c r="BL10"/>
      <c r="BM10" s="3"/>
      <c r="BN10" s="5"/>
      <c r="BO10"/>
      <c r="BP10" s="7"/>
      <c r="BQ10"/>
      <c r="BR10" s="3"/>
      <c r="BS10" s="5"/>
      <c r="BT10"/>
      <c r="BU10" s="7"/>
      <c r="BV10"/>
      <c r="BW10" s="3"/>
      <c r="BX10" s="5"/>
      <c r="BY10"/>
      <c r="BZ10" s="7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</row>
    <row r="11" spans="1:103" s="137" customFormat="1" x14ac:dyDescent="0.3">
      <c r="A11" t="s">
        <v>239</v>
      </c>
      <c r="B11">
        <f>IF(A11="","",_xlfn.XLOOKUP(A11,Tab_base[Nom + Prénom],Tab_base[Puce], ""))</f>
        <v>8534679</v>
      </c>
      <c r="C11" t="str">
        <f>IF(A11="","",_xlfn.XLOOKUP(A11,Tab_base[Nom + Prénom],Tab_base[Court],""))</f>
        <v>H14</v>
      </c>
      <c r="D11" t="s">
        <v>104</v>
      </c>
      <c r="E11" s="3"/>
      <c r="F11" s="5">
        <v>2.0879629629629626E-2</v>
      </c>
      <c r="G11" s="1" t="s">
        <v>968</v>
      </c>
      <c r="H11" s="8" t="s">
        <v>962</v>
      </c>
      <c r="I11"/>
      <c r="J11" s="3"/>
      <c r="K11" s="5"/>
      <c r="L11" s="1"/>
      <c r="M11" s="8"/>
      <c r="N11"/>
      <c r="O11" s="3"/>
      <c r="P11" s="5"/>
      <c r="Q11" s="7"/>
      <c r="R11" s="7"/>
      <c r="S11"/>
      <c r="T11" s="3"/>
      <c r="U11" s="5"/>
      <c r="V11" s="7"/>
      <c r="W11" s="7"/>
      <c r="X11"/>
      <c r="Y11" s="3"/>
      <c r="Z11" s="5"/>
      <c r="AA11"/>
      <c r="AB11" s="7"/>
      <c r="AC11"/>
      <c r="AD11" s="3"/>
      <c r="AE11" s="5"/>
      <c r="AF11"/>
      <c r="AG11" s="7"/>
      <c r="AH11"/>
      <c r="AI11" s="3"/>
      <c r="AJ11" s="5"/>
      <c r="AK11"/>
      <c r="AL11" s="7"/>
      <c r="AM11"/>
      <c r="AN11" s="3"/>
      <c r="AO11" s="5"/>
      <c r="AP11"/>
      <c r="AQ11" s="7"/>
      <c r="AR11"/>
      <c r="AS11" s="3"/>
      <c r="AT11" s="5"/>
      <c r="AU11"/>
      <c r="AV11" s="7"/>
      <c r="AW11"/>
      <c r="AX11" s="3"/>
      <c r="AY11" s="5"/>
      <c r="AZ11"/>
      <c r="BA11" s="7"/>
      <c r="BB11"/>
      <c r="BC11" s="3"/>
      <c r="BD11" s="5"/>
      <c r="BE11"/>
      <c r="BF11" s="7"/>
      <c r="BG11" t="s">
        <v>93</v>
      </c>
      <c r="BH11" s="3"/>
      <c r="BI11" s="5"/>
      <c r="BJ11"/>
      <c r="BK11" s="7"/>
      <c r="BL11"/>
      <c r="BM11" s="3"/>
      <c r="BN11" s="5"/>
      <c r="BO11"/>
      <c r="BP11" s="7"/>
      <c r="BQ11"/>
      <c r="BR11" s="3"/>
      <c r="BS11" s="5"/>
      <c r="BT11"/>
      <c r="BU11" s="7"/>
      <c r="BV11"/>
      <c r="BW11" s="3"/>
      <c r="BX11" s="5"/>
      <c r="BY11"/>
      <c r="BZ11" s="7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</row>
    <row r="12" spans="1:103" s="137" customFormat="1" x14ac:dyDescent="0.3">
      <c r="A12" t="s">
        <v>241</v>
      </c>
      <c r="B12">
        <f>IF(A12="","",_xlfn.XLOOKUP(A12,Tab_base[Nom + Prénom],Tab_base[Puce], ""))</f>
        <v>8534692</v>
      </c>
      <c r="C12" t="str">
        <f>IF(A12="","",_xlfn.XLOOKUP(A12,Tab_base[Nom + Prénom],Tab_base[Court],""))</f>
        <v>H40</v>
      </c>
      <c r="D12" t="s">
        <v>97</v>
      </c>
      <c r="E12" s="3"/>
      <c r="F12" s="5">
        <v>3.75462962962963E-2</v>
      </c>
      <c r="G12" s="1" t="s">
        <v>973</v>
      </c>
      <c r="H12" s="8" t="s">
        <v>974</v>
      </c>
      <c r="I12"/>
      <c r="J12" s="3"/>
      <c r="K12" s="5"/>
      <c r="L12" s="1"/>
      <c r="M12" s="8"/>
      <c r="N12"/>
      <c r="O12" s="3"/>
      <c r="P12" s="5"/>
      <c r="Q12" s="7"/>
      <c r="R12" s="7"/>
      <c r="S12"/>
      <c r="T12" s="3"/>
      <c r="U12" s="5"/>
      <c r="V12" s="7"/>
      <c r="W12" s="7"/>
      <c r="X12"/>
      <c r="Y12" s="3"/>
      <c r="Z12" s="5"/>
      <c r="AA12"/>
      <c r="AB12" s="7"/>
      <c r="AC12"/>
      <c r="AD12" s="3"/>
      <c r="AE12" s="5"/>
      <c r="AF12"/>
      <c r="AG12" s="7"/>
      <c r="AH12"/>
      <c r="AI12" s="3"/>
      <c r="AJ12" s="5"/>
      <c r="AK12"/>
      <c r="AL12" s="7"/>
      <c r="AM12"/>
      <c r="AN12" s="3"/>
      <c r="AO12" s="5"/>
      <c r="AP12"/>
      <c r="AQ12" s="7"/>
      <c r="AR12"/>
      <c r="AS12" s="3"/>
      <c r="AT12" s="5"/>
      <c r="AU12"/>
      <c r="AV12" s="7"/>
      <c r="AW12"/>
      <c r="AX12" s="3"/>
      <c r="AY12" s="5"/>
      <c r="AZ12"/>
      <c r="BA12" s="7"/>
      <c r="BB12"/>
      <c r="BC12" s="3"/>
      <c r="BD12" s="5"/>
      <c r="BE12"/>
      <c r="BF12" s="7"/>
      <c r="BG12" t="s">
        <v>93</v>
      </c>
      <c r="BH12" s="3"/>
      <c r="BI12" s="5"/>
      <c r="BJ12"/>
      <c r="BK12" s="7"/>
      <c r="BL12"/>
      <c r="BM12" s="3"/>
      <c r="BN12" s="5"/>
      <c r="BO12"/>
      <c r="BP12" s="7"/>
      <c r="BQ12"/>
      <c r="BR12" s="3"/>
      <c r="BS12" s="5"/>
      <c r="BT12"/>
      <c r="BU12" s="7"/>
      <c r="BV12"/>
      <c r="BW12" s="3"/>
      <c r="BX12" s="5"/>
      <c r="BY12"/>
      <c r="BZ12" s="7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</row>
    <row r="13" spans="1:103" s="137" customFormat="1" x14ac:dyDescent="0.3">
      <c r="A13" t="s">
        <v>243</v>
      </c>
      <c r="B13">
        <f>IF(A13="","",_xlfn.XLOOKUP(A13,Tab_base[Nom + Prénom],Tab_base[Puce], ""))</f>
        <v>2158061</v>
      </c>
      <c r="C13" t="str">
        <f>IF(A13="","",_xlfn.XLOOKUP(A13,Tab_base[Nom + Prénom],Tab_base[Court],""))</f>
        <v>D10</v>
      </c>
      <c r="E13" s="3"/>
      <c r="F13" s="5"/>
      <c r="G13" s="1"/>
      <c r="H13" s="8"/>
      <c r="I13" t="s">
        <v>985</v>
      </c>
      <c r="J13" s="3"/>
      <c r="K13" s="5">
        <v>8.4375000000000006E-3</v>
      </c>
      <c r="L13" s="1" t="s">
        <v>986</v>
      </c>
      <c r="M13" s="8" t="s">
        <v>987</v>
      </c>
      <c r="N13"/>
      <c r="O13" s="3"/>
      <c r="P13" s="5"/>
      <c r="Q13" s="7"/>
      <c r="R13" s="7"/>
      <c r="S13"/>
      <c r="T13" s="3"/>
      <c r="U13" s="5"/>
      <c r="V13" s="7"/>
      <c r="W13" s="7"/>
      <c r="X13"/>
      <c r="Y13" s="3"/>
      <c r="Z13" s="5"/>
      <c r="AA13"/>
      <c r="AB13" s="7"/>
      <c r="AC13"/>
      <c r="AD13" s="3"/>
      <c r="AE13" s="5"/>
      <c r="AF13"/>
      <c r="AG13" s="7"/>
      <c r="AH13"/>
      <c r="AI13" s="3"/>
      <c r="AJ13" s="5"/>
      <c r="AK13"/>
      <c r="AL13" s="7"/>
      <c r="AM13"/>
      <c r="AN13" s="3"/>
      <c r="AO13" s="5"/>
      <c r="AP13"/>
      <c r="AQ13" s="7"/>
      <c r="AR13"/>
      <c r="AS13" s="3"/>
      <c r="AT13" s="5"/>
      <c r="AU13"/>
      <c r="AV13" s="7"/>
      <c r="AW13"/>
      <c r="AX13" s="3"/>
      <c r="AY13" s="5"/>
      <c r="AZ13"/>
      <c r="BA13" s="7"/>
      <c r="BB13"/>
      <c r="BC13" s="3"/>
      <c r="BD13" s="5"/>
      <c r="BE13"/>
      <c r="BF13" s="7"/>
      <c r="BG13" t="s">
        <v>93</v>
      </c>
      <c r="BH13" s="3"/>
      <c r="BI13" s="5"/>
      <c r="BJ13"/>
      <c r="BK13" s="7"/>
      <c r="BL13"/>
      <c r="BM13" s="3"/>
      <c r="BN13" s="5"/>
      <c r="BO13"/>
      <c r="BP13" s="7"/>
      <c r="BQ13"/>
      <c r="BR13" s="3"/>
      <c r="BS13" s="5"/>
      <c r="BT13"/>
      <c r="BU13" s="7"/>
      <c r="BV13"/>
      <c r="BW13" s="3"/>
      <c r="BX13" s="5"/>
      <c r="BY13"/>
      <c r="BZ13" s="7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</row>
    <row r="14" spans="1:103" s="137" customFormat="1" x14ac:dyDescent="0.3">
      <c r="A14" t="s">
        <v>246</v>
      </c>
      <c r="B14">
        <f>IF(A14="","",_xlfn.XLOOKUP(A14,Tab_base[Nom + Prénom],Tab_base[Puce], ""))</f>
        <v>8545607</v>
      </c>
      <c r="C14" t="str">
        <f>IF(A14="","",_xlfn.XLOOKUP(A14,Tab_base[Nom + Prénom],Tab_base[Court],""))</f>
        <v>D70</v>
      </c>
      <c r="D14"/>
      <c r="E14" s="3"/>
      <c r="F14" s="5"/>
      <c r="G14" s="1"/>
      <c r="H14" s="8"/>
      <c r="I14"/>
      <c r="J14" s="3"/>
      <c r="K14" s="5"/>
      <c r="L14" s="1"/>
      <c r="M14" s="8"/>
      <c r="N14" t="s">
        <v>97</v>
      </c>
      <c r="O14" s="3"/>
      <c r="P14" s="5" t="s">
        <v>148</v>
      </c>
      <c r="Q14" s="7"/>
      <c r="R14" s="7"/>
      <c r="S14" t="s">
        <v>163</v>
      </c>
      <c r="T14" s="3"/>
      <c r="U14" s="5">
        <v>2.8888888888888891E-2</v>
      </c>
      <c r="V14" s="8" t="s">
        <v>1001</v>
      </c>
      <c r="W14" s="8" t="s">
        <v>965</v>
      </c>
      <c r="X14" t="s">
        <v>686</v>
      </c>
      <c r="Y14" s="3"/>
      <c r="Z14" s="5">
        <v>2.6678240740740738E-2</v>
      </c>
      <c r="AA14" s="1" t="s">
        <v>1026</v>
      </c>
      <c r="AB14" s="8" t="s">
        <v>1025</v>
      </c>
      <c r="AC14"/>
      <c r="AD14" s="3"/>
      <c r="AE14" s="5"/>
      <c r="AF14"/>
      <c r="AG14" s="7"/>
      <c r="AH14"/>
      <c r="AI14" s="3"/>
      <c r="AJ14" s="5"/>
      <c r="AK14"/>
      <c r="AL14" s="7"/>
      <c r="AM14"/>
      <c r="AN14" s="3"/>
      <c r="AO14" s="5"/>
      <c r="AP14"/>
      <c r="AQ14" s="7"/>
      <c r="AR14"/>
      <c r="AS14" s="3"/>
      <c r="AT14" s="5"/>
      <c r="AU14"/>
      <c r="AV14" s="7"/>
      <c r="AW14"/>
      <c r="AX14" s="3"/>
      <c r="AY14" s="5"/>
      <c r="AZ14"/>
      <c r="BA14" s="7"/>
      <c r="BB14"/>
      <c r="BC14" s="3"/>
      <c r="BD14" s="5"/>
      <c r="BE14"/>
      <c r="BF14" s="7"/>
      <c r="BG14" t="s">
        <v>93</v>
      </c>
      <c r="BH14" s="3"/>
      <c r="BI14" s="5"/>
      <c r="BJ14"/>
      <c r="BK14" s="7"/>
      <c r="BL14"/>
      <c r="BM14" s="3"/>
      <c r="BN14" s="5"/>
      <c r="BO14"/>
      <c r="BP14" s="7"/>
      <c r="BQ14"/>
      <c r="BR14" s="3"/>
      <c r="BS14" s="5"/>
      <c r="BT14"/>
      <c r="BU14" s="7"/>
      <c r="BV14"/>
      <c r="BW14" s="3"/>
      <c r="BX14" s="5"/>
      <c r="BY14"/>
      <c r="BZ14" s="7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</row>
    <row r="15" spans="1:103" s="137" customFormat="1" x14ac:dyDescent="0.3">
      <c r="A15" t="s">
        <v>257</v>
      </c>
      <c r="B15">
        <f>IF(A15="","",_xlfn.XLOOKUP(A15,Tab_base[Nom + Prénom],Tab_base[Puce], ""))</f>
        <v>205574</v>
      </c>
      <c r="C15" t="str">
        <f>IF(A15="","",_xlfn.XLOOKUP(A15,Tab_base[Nom + Prénom],Tab_base[Court],""))</f>
        <v>H10</v>
      </c>
      <c r="D15"/>
      <c r="E15" s="3"/>
      <c r="F15" s="5"/>
      <c r="G15" s="1"/>
      <c r="H15" s="8"/>
      <c r="I15"/>
      <c r="J15" s="3"/>
      <c r="K15" s="5"/>
      <c r="L15" s="1"/>
      <c r="M15" s="8"/>
      <c r="N15"/>
      <c r="O15" s="3"/>
      <c r="P15" s="5"/>
      <c r="Q15" s="7"/>
      <c r="R15" s="7"/>
      <c r="S15"/>
      <c r="T15" s="3"/>
      <c r="U15" s="5"/>
      <c r="V15" s="7"/>
      <c r="W15" s="7"/>
      <c r="X15"/>
      <c r="Y15" s="3"/>
      <c r="Z15" s="5"/>
      <c r="AA15"/>
      <c r="AB15" s="7"/>
      <c r="AC15"/>
      <c r="AD15" s="3"/>
      <c r="AE15" s="5"/>
      <c r="AF15"/>
      <c r="AG15" s="7"/>
      <c r="AH15"/>
      <c r="AI15" s="3"/>
      <c r="AJ15" s="5"/>
      <c r="AK15"/>
      <c r="AL15" s="7"/>
      <c r="AM15"/>
      <c r="AN15" s="3"/>
      <c r="AO15" s="5"/>
      <c r="AP15"/>
      <c r="AQ15" s="7"/>
      <c r="AR15"/>
      <c r="AS15" s="3"/>
      <c r="AT15" s="5"/>
      <c r="AU15"/>
      <c r="AV15" s="7"/>
      <c r="AW15"/>
      <c r="AX15" s="3"/>
      <c r="AY15" s="5"/>
      <c r="AZ15"/>
      <c r="BA15" s="7"/>
      <c r="BB15"/>
      <c r="BC15" s="3"/>
      <c r="BD15" s="5"/>
      <c r="BE15"/>
      <c r="BF15" s="7"/>
      <c r="BG15" t="s">
        <v>93</v>
      </c>
      <c r="BH15" s="3"/>
      <c r="BI15" s="5"/>
      <c r="BJ15"/>
      <c r="BK15" s="7"/>
      <c r="BL15"/>
      <c r="BM15" s="3"/>
      <c r="BN15" s="5"/>
      <c r="BO15"/>
      <c r="BP15" s="7"/>
      <c r="BQ15"/>
      <c r="BR15" s="3"/>
      <c r="BS15" s="5"/>
      <c r="BT15"/>
      <c r="BU15" s="7"/>
      <c r="BV15"/>
      <c r="BW15" s="3"/>
      <c r="BX15" s="5"/>
      <c r="BY15"/>
      <c r="BZ15" s="7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</row>
    <row r="16" spans="1:103" s="137" customFormat="1" x14ac:dyDescent="0.3">
      <c r="A16" t="s">
        <v>269</v>
      </c>
      <c r="B16">
        <f>IF(A16="","",_xlfn.XLOOKUP(A16,Tab_base[Nom + Prénom],Tab_base[Puce], ""))</f>
        <v>1890301</v>
      </c>
      <c r="C16" t="str">
        <f>IF(A16="","",_xlfn.XLOOKUP(A16,Tab_base[Nom + Prénom],Tab_base[Court],""))</f>
        <v>D55</v>
      </c>
      <c r="D16"/>
      <c r="E16" s="3"/>
      <c r="F16" s="5"/>
      <c r="G16" s="1"/>
      <c r="H16" s="8"/>
      <c r="I16"/>
      <c r="J16" s="3"/>
      <c r="K16" s="5"/>
      <c r="L16" s="1"/>
      <c r="M16" s="8"/>
      <c r="O16" s="3"/>
      <c r="P16" s="5"/>
      <c r="Q16" s="7"/>
      <c r="R16" s="7"/>
      <c r="S16" t="s">
        <v>1008</v>
      </c>
      <c r="T16" s="3"/>
      <c r="U16" s="5">
        <v>4.0775462962962965E-2</v>
      </c>
      <c r="V16" s="8" t="s">
        <v>1009</v>
      </c>
      <c r="W16" s="8" t="s">
        <v>1010</v>
      </c>
      <c r="X16" t="s">
        <v>1027</v>
      </c>
      <c r="Y16" s="3"/>
      <c r="Z16" s="5">
        <v>2.0057870370370368E-2</v>
      </c>
      <c r="AA16" s="1" t="s">
        <v>1028</v>
      </c>
      <c r="AB16" s="8" t="s">
        <v>857</v>
      </c>
      <c r="AC16"/>
      <c r="AD16" s="3"/>
      <c r="AE16" s="5"/>
      <c r="AF16"/>
      <c r="AG16" s="7"/>
      <c r="AH16"/>
      <c r="AI16" s="3"/>
      <c r="AJ16" s="5"/>
      <c r="AK16"/>
      <c r="AL16" s="7"/>
      <c r="AM16"/>
      <c r="AN16" s="3"/>
      <c r="AO16" s="5"/>
      <c r="AP16"/>
      <c r="AQ16" s="7"/>
      <c r="AR16"/>
      <c r="AS16" s="3"/>
      <c r="AT16" s="5"/>
      <c r="AU16"/>
      <c r="AV16" s="7"/>
      <c r="AW16"/>
      <c r="AX16" s="3"/>
      <c r="AY16" s="5"/>
      <c r="AZ16"/>
      <c r="BA16" s="7"/>
      <c r="BB16"/>
      <c r="BC16" s="3"/>
      <c r="BD16" s="5"/>
      <c r="BE16"/>
      <c r="BF16" s="7"/>
      <c r="BG16" t="s">
        <v>93</v>
      </c>
      <c r="BH16" s="3"/>
      <c r="BI16" s="5"/>
      <c r="BJ16"/>
      <c r="BK16" s="7"/>
      <c r="BL16"/>
      <c r="BM16" s="3"/>
      <c r="BN16" s="5"/>
      <c r="BO16"/>
      <c r="BP16" s="7"/>
      <c r="BQ16"/>
      <c r="BR16" s="3"/>
      <c r="BS16" s="5"/>
      <c r="BT16"/>
      <c r="BU16" s="7"/>
      <c r="BV16"/>
      <c r="BW16" s="3"/>
      <c r="BX16" s="5"/>
      <c r="BY16"/>
      <c r="BZ16" s="7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</row>
    <row r="17" spans="1:103" s="137" customFormat="1" x14ac:dyDescent="0.3">
      <c r="A17" t="s">
        <v>272</v>
      </c>
      <c r="B17">
        <f>IF(A17="","",_xlfn.XLOOKUP(A17,Tab_base[Nom + Prénom],Tab_base[Puce], ""))</f>
        <v>8890305</v>
      </c>
      <c r="C17" t="str">
        <f>IF(A17="","",_xlfn.XLOOKUP(A17,Tab_base[Nom + Prénom],Tab_base[Court],""))</f>
        <v>H55</v>
      </c>
      <c r="D17" t="s">
        <v>78</v>
      </c>
      <c r="E17" s="3"/>
      <c r="F17" s="5">
        <v>3.829861111111111E-2</v>
      </c>
      <c r="G17" s="1" t="s">
        <v>971</v>
      </c>
      <c r="H17" s="8" t="s">
        <v>966</v>
      </c>
      <c r="I17"/>
      <c r="J17" s="3"/>
      <c r="K17" s="5"/>
      <c r="L17" s="1"/>
      <c r="M17" s="8"/>
      <c r="N17" t="s">
        <v>78</v>
      </c>
      <c r="O17" s="3"/>
      <c r="P17" s="5">
        <v>4.6782407407407411E-2</v>
      </c>
      <c r="Q17" s="8" t="s">
        <v>991</v>
      </c>
      <c r="R17" s="8" t="s">
        <v>992</v>
      </c>
      <c r="S17" t="s">
        <v>70</v>
      </c>
      <c r="T17" s="3"/>
      <c r="U17" s="5">
        <v>3.8553240740740742E-2</v>
      </c>
      <c r="V17" s="8" t="s">
        <v>1003</v>
      </c>
      <c r="W17" s="8" t="s">
        <v>1004</v>
      </c>
      <c r="X17" t="s">
        <v>1013</v>
      </c>
      <c r="Y17" s="3"/>
      <c r="Z17" s="5">
        <v>1.7546296296296296E-2</v>
      </c>
      <c r="AA17" s="1" t="s">
        <v>1015</v>
      </c>
      <c r="AB17" s="8" t="s">
        <v>1014</v>
      </c>
      <c r="AC17"/>
      <c r="AD17" s="3"/>
      <c r="AE17" s="5"/>
      <c r="AF17"/>
      <c r="AG17" s="7"/>
      <c r="AH17"/>
      <c r="AI17" s="3"/>
      <c r="AJ17" s="5"/>
      <c r="AK17"/>
      <c r="AL17" s="7"/>
      <c r="AM17"/>
      <c r="AN17" s="3"/>
      <c r="AO17" s="5"/>
      <c r="AP17"/>
      <c r="AQ17" s="7"/>
      <c r="AR17"/>
      <c r="AS17" s="3"/>
      <c r="AT17" s="5"/>
      <c r="AU17"/>
      <c r="AV17" s="7"/>
      <c r="AW17"/>
      <c r="AX17" s="3"/>
      <c r="AY17" s="5"/>
      <c r="AZ17"/>
      <c r="BA17" s="7"/>
      <c r="BB17"/>
      <c r="BC17" s="3"/>
      <c r="BD17" s="5"/>
      <c r="BE17"/>
      <c r="BF17" s="7"/>
      <c r="BG17" t="s">
        <v>93</v>
      </c>
      <c r="BH17" s="3"/>
      <c r="BI17" s="5"/>
      <c r="BJ17"/>
      <c r="BK17" s="7"/>
      <c r="BL17"/>
      <c r="BM17" s="3"/>
      <c r="BN17" s="5"/>
      <c r="BO17"/>
      <c r="BP17" s="7"/>
      <c r="BQ17"/>
      <c r="BR17" s="3"/>
      <c r="BS17" s="5"/>
      <c r="BT17"/>
      <c r="BU17" s="7"/>
      <c r="BV17"/>
      <c r="BW17" s="3"/>
      <c r="BX17" s="5"/>
      <c r="BY17"/>
      <c r="BZ17" s="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</row>
    <row r="18" spans="1:103" s="137" customFormat="1" x14ac:dyDescent="0.3">
      <c r="A18" t="s">
        <v>277</v>
      </c>
      <c r="B18">
        <f>IF(A18="","",_xlfn.XLOOKUP(A18,Tab_base[Nom + Prénom],Tab_base[Puce], ""))</f>
        <v>1890311</v>
      </c>
      <c r="C18" t="str">
        <f>IF(A18="","",_xlfn.XLOOKUP(A18,Tab_base[Nom + Prénom],Tab_base[Court],""))</f>
        <v>H65</v>
      </c>
      <c r="D18"/>
      <c r="E18" s="3"/>
      <c r="F18" s="5"/>
      <c r="G18" s="1"/>
      <c r="H18" s="8"/>
      <c r="I18"/>
      <c r="J18" s="3"/>
      <c r="K18" s="5"/>
      <c r="L18" s="1"/>
      <c r="M18" s="8"/>
      <c r="N18" t="s">
        <v>97</v>
      </c>
      <c r="O18" s="3"/>
      <c r="P18" s="5">
        <v>8.1157407407407414E-2</v>
      </c>
      <c r="Q18" s="8" t="s">
        <v>989</v>
      </c>
      <c r="R18" s="8" t="s">
        <v>990</v>
      </c>
      <c r="S18"/>
      <c r="T18" s="3"/>
      <c r="U18" s="5"/>
      <c r="V18" s="8" t="s">
        <v>564</v>
      </c>
      <c r="W18" s="8"/>
      <c r="X18"/>
      <c r="Y18" s="3"/>
      <c r="Z18" s="5"/>
      <c r="AA18"/>
      <c r="AB18" s="7"/>
      <c r="AC18"/>
      <c r="AD18" s="3"/>
      <c r="AE18" s="5"/>
      <c r="AF18"/>
      <c r="AG18" s="7"/>
      <c r="AH18"/>
      <c r="AI18" s="3"/>
      <c r="AJ18" s="5"/>
      <c r="AK18"/>
      <c r="AL18" s="7"/>
      <c r="AM18"/>
      <c r="AN18" s="3"/>
      <c r="AO18" s="5"/>
      <c r="AP18"/>
      <c r="AQ18" s="7"/>
      <c r="AR18"/>
      <c r="AS18" s="3"/>
      <c r="AT18" s="5"/>
      <c r="AU18"/>
      <c r="AV18" s="7"/>
      <c r="AW18"/>
      <c r="AX18" s="3"/>
      <c r="AY18" s="5"/>
      <c r="AZ18"/>
      <c r="BA18" s="7"/>
      <c r="BB18"/>
      <c r="BC18" s="3"/>
      <c r="BD18" s="5"/>
      <c r="BE18"/>
      <c r="BF18" s="7"/>
      <c r="BG18" t="s">
        <v>93</v>
      </c>
      <c r="BH18" s="3"/>
      <c r="BI18" s="5"/>
      <c r="BJ18"/>
      <c r="BK18" s="7"/>
      <c r="BL18"/>
      <c r="BM18" s="3"/>
      <c r="BN18" s="5"/>
      <c r="BO18"/>
      <c r="BP18" s="7"/>
      <c r="BQ18"/>
      <c r="BR18" s="3"/>
      <c r="BS18" s="5"/>
      <c r="BT18"/>
      <c r="BU18" s="7"/>
      <c r="BV18"/>
      <c r="BW18" s="3"/>
      <c r="BX18" s="5"/>
      <c r="BY18"/>
      <c r="BZ18" s="7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</row>
    <row r="19" spans="1:103" s="137" customFormat="1" x14ac:dyDescent="0.3">
      <c r="A19" t="s">
        <v>279</v>
      </c>
      <c r="B19">
        <f>IF(A19="","",_xlfn.XLOOKUP(A19,Tab_base[Nom + Prénom],Tab_base[Puce], ""))</f>
        <v>2027608</v>
      </c>
      <c r="C19" t="str">
        <f>IF(A19="","",_xlfn.XLOOKUP(A19,Tab_base[Nom + Prénom],Tab_base[Court],""))</f>
        <v>H35</v>
      </c>
      <c r="D19"/>
      <c r="E19" s="3"/>
      <c r="F19" s="5"/>
      <c r="G19" s="1"/>
      <c r="H19" s="8"/>
      <c r="I19"/>
      <c r="J19" s="3"/>
      <c r="K19" s="5"/>
      <c r="L19" s="1"/>
      <c r="M19" s="8"/>
      <c r="N19" t="s">
        <v>78</v>
      </c>
      <c r="O19" s="3"/>
      <c r="P19" s="5">
        <v>6.0821759259259256E-2</v>
      </c>
      <c r="Q19" s="8" t="s">
        <v>997</v>
      </c>
      <c r="R19" s="8" t="s">
        <v>998</v>
      </c>
      <c r="S19"/>
      <c r="T19" s="3"/>
      <c r="U19" s="5"/>
      <c r="V19" s="8"/>
      <c r="W19" s="8"/>
      <c r="X19"/>
      <c r="Y19" s="3"/>
      <c r="Z19" s="5"/>
      <c r="AA19"/>
      <c r="AB19" s="7"/>
      <c r="AC19"/>
      <c r="AD19" s="3"/>
      <c r="AE19" s="5"/>
      <c r="AF19"/>
      <c r="AG19" s="7"/>
      <c r="AH19"/>
      <c r="AI19" s="3"/>
      <c r="AJ19" s="5"/>
      <c r="AK19"/>
      <c r="AL19" s="7"/>
      <c r="AM19"/>
      <c r="AN19" s="3"/>
      <c r="AO19" s="5"/>
      <c r="AP19"/>
      <c r="AQ19" s="7"/>
      <c r="AR19"/>
      <c r="AS19" s="3"/>
      <c r="AT19" s="5"/>
      <c r="AU19"/>
      <c r="AV19" s="7"/>
      <c r="AW19"/>
      <c r="AX19" s="3"/>
      <c r="AY19" s="5"/>
      <c r="AZ19"/>
      <c r="BA19" s="7"/>
      <c r="BB19"/>
      <c r="BC19" s="3"/>
      <c r="BD19" s="5"/>
      <c r="BE19"/>
      <c r="BF19" s="7"/>
      <c r="BG19" t="s">
        <v>93</v>
      </c>
      <c r="BH19" s="3"/>
      <c r="BI19" s="5"/>
      <c r="BJ19"/>
      <c r="BK19" s="7"/>
      <c r="BL19"/>
      <c r="BM19" s="3"/>
      <c r="BN19" s="5"/>
      <c r="BO19"/>
      <c r="BP19" s="7"/>
      <c r="BQ19"/>
      <c r="BR19" s="3"/>
      <c r="BS19" s="5"/>
      <c r="BT19"/>
      <c r="BU19" s="7"/>
      <c r="BV19"/>
      <c r="BW19" s="3"/>
      <c r="BX19" s="5"/>
      <c r="BY19"/>
      <c r="BZ19" s="7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</row>
    <row r="20" spans="1:103" s="137" customFormat="1" x14ac:dyDescent="0.3">
      <c r="A20" t="s">
        <v>282</v>
      </c>
      <c r="B20">
        <f>IF(A20="","",_xlfn.XLOOKUP(A20,Tab_base[Nom + Prénom],Tab_base[Puce], ""))</f>
        <v>8527790</v>
      </c>
      <c r="C20" t="str">
        <f>IF(A20="","",_xlfn.XLOOKUP(A20,Tab_base[Nom + Prénom],Tab_base[Court],""))</f>
        <v>H50</v>
      </c>
      <c r="D20" t="s">
        <v>78</v>
      </c>
      <c r="E20" s="3"/>
      <c r="F20" s="5">
        <v>4.0821759259259259E-2</v>
      </c>
      <c r="G20" s="1" t="s">
        <v>972</v>
      </c>
      <c r="H20" s="8" t="s">
        <v>967</v>
      </c>
      <c r="I20"/>
      <c r="J20" s="3"/>
      <c r="K20" s="5"/>
      <c r="L20" s="1"/>
      <c r="M20" s="8"/>
      <c r="N20"/>
      <c r="O20" s="3"/>
      <c r="P20" s="5"/>
      <c r="Q20" s="8"/>
      <c r="R20" s="8"/>
      <c r="S20"/>
      <c r="T20" s="3"/>
      <c r="U20" s="5"/>
      <c r="V20" s="7"/>
      <c r="W20" s="7"/>
      <c r="X20"/>
      <c r="Y20" s="3"/>
      <c r="Z20" s="5"/>
      <c r="AA20"/>
      <c r="AB20" s="7"/>
      <c r="AC20"/>
      <c r="AD20" s="3"/>
      <c r="AE20" s="5"/>
      <c r="AF20"/>
      <c r="AG20" s="7"/>
      <c r="AH20"/>
      <c r="AI20" s="3"/>
      <c r="AJ20" s="5"/>
      <c r="AK20"/>
      <c r="AL20" s="7"/>
      <c r="AM20"/>
      <c r="AN20" s="3"/>
      <c r="AO20" s="5"/>
      <c r="AP20"/>
      <c r="AQ20" s="7"/>
      <c r="AR20"/>
      <c r="AS20" s="3"/>
      <c r="AT20" s="5"/>
      <c r="AU20"/>
      <c r="AV20" s="7"/>
      <c r="AW20"/>
      <c r="AX20" s="3"/>
      <c r="AY20" s="5"/>
      <c r="AZ20"/>
      <c r="BA20" s="7"/>
      <c r="BB20"/>
      <c r="BC20" s="3"/>
      <c r="BD20" s="5"/>
      <c r="BE20"/>
      <c r="BF20" s="7"/>
      <c r="BG20" t="s">
        <v>93</v>
      </c>
      <c r="BH20" s="3"/>
      <c r="BI20" s="5"/>
      <c r="BJ20"/>
      <c r="BK20" s="7"/>
      <c r="BL20"/>
      <c r="BM20" s="3"/>
      <c r="BN20" s="5"/>
      <c r="BO20"/>
      <c r="BP20" s="7"/>
      <c r="BQ20"/>
      <c r="BR20" s="3"/>
      <c r="BS20" s="5"/>
      <c r="BT20"/>
      <c r="BU20" s="7"/>
      <c r="BV20"/>
      <c r="BW20" s="3"/>
      <c r="BX20" s="5"/>
      <c r="BY20"/>
      <c r="BZ20" s="7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</row>
    <row r="21" spans="1:103" s="137" customFormat="1" x14ac:dyDescent="0.3">
      <c r="A21" t="s">
        <v>284</v>
      </c>
      <c r="B21">
        <f>IF(A21="","",_xlfn.XLOOKUP(A21,Tab_base[Nom + Prénom],Tab_base[Puce], ""))</f>
        <v>8542857</v>
      </c>
      <c r="C21" t="str">
        <f>IF(A21="","",_xlfn.XLOOKUP(A21,Tab_base[Nom + Prénom],Tab_base[Court],""))</f>
        <v>H14</v>
      </c>
      <c r="D21" t="s">
        <v>104</v>
      </c>
      <c r="E21" s="3"/>
      <c r="F21" s="5">
        <v>2.7060185185185187E-2</v>
      </c>
      <c r="G21" s="1" t="s">
        <v>963</v>
      </c>
      <c r="H21" s="8" t="s">
        <v>964</v>
      </c>
      <c r="I21"/>
      <c r="J21" s="3"/>
      <c r="K21" s="5"/>
      <c r="L21" s="1"/>
      <c r="M21" s="8"/>
      <c r="N21"/>
      <c r="O21" s="3"/>
      <c r="P21" s="5"/>
      <c r="Q21" s="8"/>
      <c r="R21" s="8"/>
      <c r="S21"/>
      <c r="T21" s="3"/>
      <c r="U21" s="5"/>
      <c r="V21" s="7"/>
      <c r="W21" s="7"/>
      <c r="X21"/>
      <c r="Y21" s="3"/>
      <c r="Z21" s="5"/>
      <c r="AA21"/>
      <c r="AB21" s="7"/>
      <c r="AC21"/>
      <c r="AD21" s="3"/>
      <c r="AE21" s="5"/>
      <c r="AF21"/>
      <c r="AG21" s="7"/>
      <c r="AH21"/>
      <c r="AI21" s="3"/>
      <c r="AJ21" s="5"/>
      <c r="AK21"/>
      <c r="AL21" s="7"/>
      <c r="AM21"/>
      <c r="AN21" s="3"/>
      <c r="AO21" s="5"/>
      <c r="AP21"/>
      <c r="AQ21" s="7"/>
      <c r="AR21"/>
      <c r="AS21" s="3"/>
      <c r="AT21" s="5"/>
      <c r="AU21"/>
      <c r="AV21" s="7"/>
      <c r="AW21"/>
      <c r="AX21" s="3"/>
      <c r="AY21" s="5"/>
      <c r="AZ21"/>
      <c r="BA21" s="7"/>
      <c r="BB21"/>
      <c r="BC21" s="3"/>
      <c r="BD21" s="5"/>
      <c r="BE21"/>
      <c r="BF21" s="7"/>
      <c r="BG21" t="s">
        <v>93</v>
      </c>
      <c r="BH21" s="3"/>
      <c r="BI21" s="5"/>
      <c r="BJ21"/>
      <c r="BK21" s="7"/>
      <c r="BL21"/>
      <c r="BM21" s="3"/>
      <c r="BN21" s="5"/>
      <c r="BO21"/>
      <c r="BP21" s="7"/>
      <c r="BQ21"/>
      <c r="BR21" s="3"/>
      <c r="BS21" s="5"/>
      <c r="BT21"/>
      <c r="BU21" s="7"/>
      <c r="BV21"/>
      <c r="BW21" s="3"/>
      <c r="BX21" s="5"/>
      <c r="BY21"/>
      <c r="BZ21" s="7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</row>
    <row r="22" spans="1:103" s="137" customFormat="1" x14ac:dyDescent="0.3">
      <c r="A22" t="s">
        <v>288</v>
      </c>
      <c r="B22">
        <f>IF(A22="","",_xlfn.XLOOKUP(A22,Tab_base[Nom + Prénom],Tab_base[Puce], ""))</f>
        <v>433311</v>
      </c>
      <c r="C22" t="str">
        <f>IF(A22="","",_xlfn.XLOOKUP(A22,Tab_base[Nom + Prénom],Tab_base[Court],""))</f>
        <v>D16</v>
      </c>
      <c r="D22"/>
      <c r="E22" s="3"/>
      <c r="F22" s="5"/>
      <c r="G22" s="1"/>
      <c r="H22" s="8"/>
      <c r="I22" t="s">
        <v>549</v>
      </c>
      <c r="J22" s="3"/>
      <c r="K22" s="5">
        <v>5.5462962962962964E-2</v>
      </c>
      <c r="L22" s="1" t="s">
        <v>978</v>
      </c>
      <c r="M22" s="8" t="s">
        <v>979</v>
      </c>
      <c r="N22"/>
      <c r="O22" s="3"/>
      <c r="P22" s="5"/>
      <c r="Q22" s="8"/>
      <c r="R22" s="8"/>
      <c r="S22"/>
      <c r="T22" s="3"/>
      <c r="U22" s="5"/>
      <c r="V22" s="7"/>
      <c r="W22" s="7"/>
      <c r="X22"/>
      <c r="Y22" s="3"/>
      <c r="Z22" s="5"/>
      <c r="AA22"/>
      <c r="AB22" s="7"/>
      <c r="AC22"/>
      <c r="AD22" s="3"/>
      <c r="AE22" s="5"/>
      <c r="AF22"/>
      <c r="AG22" s="7"/>
      <c r="AH22"/>
      <c r="AI22" s="3"/>
      <c r="AJ22" s="5"/>
      <c r="AK22"/>
      <c r="AL22" s="7"/>
      <c r="AM22"/>
      <c r="AN22" s="3"/>
      <c r="AO22" s="5"/>
      <c r="AP22"/>
      <c r="AQ22" s="7"/>
      <c r="AR22"/>
      <c r="AS22" s="3"/>
      <c r="AT22" s="5"/>
      <c r="AU22"/>
      <c r="AV22" s="7"/>
      <c r="AW22"/>
      <c r="AX22" s="3"/>
      <c r="AY22" s="5"/>
      <c r="AZ22"/>
      <c r="BA22" s="7"/>
      <c r="BB22"/>
      <c r="BC22" s="3"/>
      <c r="BD22" s="5"/>
      <c r="BE22"/>
      <c r="BF22" s="7"/>
      <c r="BG22" t="s">
        <v>93</v>
      </c>
      <c r="BH22" s="3"/>
      <c r="BI22" s="5"/>
      <c r="BJ22"/>
      <c r="BK22" s="7"/>
      <c r="BL22"/>
      <c r="BM22" s="3"/>
      <c r="BN22" s="5"/>
      <c r="BO22"/>
      <c r="BP22" s="7"/>
      <c r="BQ22"/>
      <c r="BR22" s="3"/>
      <c r="BS22" s="5"/>
      <c r="BT22"/>
      <c r="BU22" s="7"/>
      <c r="BV22"/>
      <c r="BW22" s="3"/>
      <c r="BX22" s="5"/>
      <c r="BY22"/>
      <c r="BZ22" s="7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</row>
    <row r="23" spans="1:103" s="137" customFormat="1" x14ac:dyDescent="0.3">
      <c r="A23" t="s">
        <v>290</v>
      </c>
      <c r="B23">
        <f>IF(A23="","",_xlfn.XLOOKUP(A23,Tab_base[Nom + Prénom],Tab_base[Puce], ""))</f>
        <v>2024050</v>
      </c>
      <c r="C23" t="str">
        <f>IF(A23="","",_xlfn.XLOOKUP(A23,Tab_base[Nom + Prénom],Tab_base[Court],""))</f>
        <v>D10</v>
      </c>
      <c r="D23"/>
      <c r="E23" s="3"/>
      <c r="F23" s="5"/>
      <c r="G23" s="1"/>
      <c r="H23" s="8"/>
      <c r="I23" t="s">
        <v>985</v>
      </c>
      <c r="J23" s="3"/>
      <c r="K23" s="5" t="s">
        <v>148</v>
      </c>
      <c r="L23" s="1"/>
      <c r="M23" s="8"/>
      <c r="N23"/>
      <c r="O23" s="3"/>
      <c r="P23" s="5"/>
      <c r="Q23" s="8"/>
      <c r="R23" s="8"/>
      <c r="S23"/>
      <c r="T23" s="3"/>
      <c r="U23" s="5"/>
      <c r="V23" s="7"/>
      <c r="W23" s="7"/>
      <c r="X23"/>
      <c r="Y23" s="3"/>
      <c r="Z23" s="5"/>
      <c r="AA23"/>
      <c r="AB23" s="7"/>
      <c r="AC23"/>
      <c r="AD23" s="3"/>
      <c r="AE23" s="5"/>
      <c r="AF23"/>
      <c r="AG23" s="7"/>
      <c r="AH23"/>
      <c r="AI23" s="3"/>
      <c r="AJ23" s="5"/>
      <c r="AK23"/>
      <c r="AL23" s="7"/>
      <c r="AM23"/>
      <c r="AN23" s="3"/>
      <c r="AO23" s="5"/>
      <c r="AP23"/>
      <c r="AQ23" s="7"/>
      <c r="AR23"/>
      <c r="AS23" s="3"/>
      <c r="AT23" s="5"/>
      <c r="AU23"/>
      <c r="AV23" s="7"/>
      <c r="AW23"/>
      <c r="AX23" s="3"/>
      <c r="AY23" s="5"/>
      <c r="AZ23"/>
      <c r="BA23" s="7"/>
      <c r="BB23"/>
      <c r="BC23" s="3"/>
      <c r="BD23" s="5"/>
      <c r="BE23"/>
      <c r="BF23" s="7"/>
      <c r="BG23" t="s">
        <v>93</v>
      </c>
      <c r="BH23" s="3"/>
      <c r="BI23" s="5"/>
      <c r="BJ23"/>
      <c r="BK23" s="7"/>
      <c r="BL23"/>
      <c r="BM23" s="3"/>
      <c r="BN23" s="5"/>
      <c r="BO23"/>
      <c r="BP23" s="7"/>
      <c r="BQ23"/>
      <c r="BR23" s="3"/>
      <c r="BS23" s="5"/>
      <c r="BT23"/>
      <c r="BU23" s="7"/>
      <c r="BV23"/>
      <c r="BW23" s="3"/>
      <c r="BX23" s="5"/>
      <c r="BY23"/>
      <c r="BZ23" s="7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</row>
    <row r="24" spans="1:103" s="137" customFormat="1" x14ac:dyDescent="0.3">
      <c r="A24" t="s">
        <v>305</v>
      </c>
      <c r="B24">
        <f>IF(A24="","",_xlfn.XLOOKUP(A24,Tab_base[Nom + Prénom],Tab_base[Puce], ""))</f>
        <v>8890304</v>
      </c>
      <c r="C24" t="str">
        <f>IF(A24="","",_xlfn.XLOOKUP(A24,Tab_base[Nom + Prénom],Tab_base[Court],""))</f>
        <v>D55</v>
      </c>
      <c r="D24" t="s">
        <v>97</v>
      </c>
      <c r="E24" s="3"/>
      <c r="F24" s="5">
        <v>3.8275462962962963E-2</v>
      </c>
      <c r="G24" s="1" t="s">
        <v>977</v>
      </c>
      <c r="H24" s="8" t="s">
        <v>858</v>
      </c>
      <c r="I24"/>
      <c r="J24" s="3"/>
      <c r="K24" s="5"/>
      <c r="L24" s="1"/>
      <c r="M24" s="8"/>
      <c r="N24" t="s">
        <v>78</v>
      </c>
      <c r="O24" s="3"/>
      <c r="P24" s="5">
        <v>5.1354166666666666E-2</v>
      </c>
      <c r="Q24" s="8" t="s">
        <v>994</v>
      </c>
      <c r="R24" s="8" t="s">
        <v>993</v>
      </c>
      <c r="S24" t="s">
        <v>71</v>
      </c>
      <c r="T24" s="3"/>
      <c r="U24" s="5" t="s">
        <v>148</v>
      </c>
      <c r="V24" s="8"/>
      <c r="W24" s="8"/>
      <c r="X24" t="s">
        <v>686</v>
      </c>
      <c r="Y24" s="3"/>
      <c r="Z24" s="5">
        <v>2.1886574074074072E-2</v>
      </c>
      <c r="AA24" s="1" t="s">
        <v>1023</v>
      </c>
      <c r="AB24" s="8" t="s">
        <v>1024</v>
      </c>
      <c r="AC24"/>
      <c r="AD24" s="3"/>
      <c r="AE24" s="5"/>
      <c r="AF24"/>
      <c r="AG24" s="7"/>
      <c r="AH24"/>
      <c r="AI24" s="3"/>
      <c r="AJ24" s="5"/>
      <c r="AK24"/>
      <c r="AL24" s="7"/>
      <c r="AM24"/>
      <c r="AN24" s="3"/>
      <c r="AO24" s="5"/>
      <c r="AP24"/>
      <c r="AQ24" s="7"/>
      <c r="AR24"/>
      <c r="AS24" s="3"/>
      <c r="AT24" s="5"/>
      <c r="AU24"/>
      <c r="AV24" s="7"/>
      <c r="AW24"/>
      <c r="AX24" s="3"/>
      <c r="AY24" s="5"/>
      <c r="AZ24"/>
      <c r="BA24" s="7"/>
      <c r="BB24"/>
      <c r="BC24" s="3"/>
      <c r="BD24" s="5"/>
      <c r="BE24"/>
      <c r="BF24" s="7"/>
      <c r="BG24" t="s">
        <v>93</v>
      </c>
      <c r="BH24" s="3"/>
      <c r="BI24" s="5"/>
      <c r="BJ24"/>
      <c r="BK24" s="7"/>
      <c r="BL24"/>
      <c r="BM24" s="3"/>
      <c r="BN24" s="5"/>
      <c r="BO24"/>
      <c r="BP24" s="7"/>
      <c r="BQ24"/>
      <c r="BR24" s="3"/>
      <c r="BS24" s="5"/>
      <c r="BT24"/>
      <c r="BU24" s="7"/>
      <c r="BV24"/>
      <c r="BW24" s="3"/>
      <c r="BX24" s="5"/>
      <c r="BY24"/>
      <c r="BZ24" s="7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</row>
    <row r="25" spans="1:103" s="137" customFormat="1" x14ac:dyDescent="0.3">
      <c r="A25" t="s">
        <v>311</v>
      </c>
      <c r="B25">
        <f>IF(A25="","",_xlfn.XLOOKUP(A25,Tab_base[Nom + Prénom],Tab_base[Puce], ""))</f>
        <v>8547726</v>
      </c>
      <c r="C25" t="str">
        <f>IF(A25="","",_xlfn.XLOOKUP(A25,Tab_base[Nom + Prénom],Tab_base[Court],""))</f>
        <v>H65</v>
      </c>
      <c r="D25"/>
      <c r="E25" s="3"/>
      <c r="F25" s="5"/>
      <c r="G25"/>
      <c r="H25" s="7"/>
      <c r="I25" t="s">
        <v>982</v>
      </c>
      <c r="J25" s="3"/>
      <c r="K25" s="5">
        <v>7.5960648148148138E-2</v>
      </c>
      <c r="L25" s="1" t="s">
        <v>984</v>
      </c>
      <c r="M25" s="8" t="s">
        <v>983</v>
      </c>
      <c r="N25" t="s">
        <v>78</v>
      </c>
      <c r="O25" s="3"/>
      <c r="P25" s="5">
        <v>5.5497685185185185E-2</v>
      </c>
      <c r="Q25" s="8" t="s">
        <v>995</v>
      </c>
      <c r="R25" s="8" t="s">
        <v>996</v>
      </c>
      <c r="S25" t="s">
        <v>69</v>
      </c>
      <c r="T25" s="3"/>
      <c r="U25" s="136">
        <v>4.7743055555555552E-2</v>
      </c>
      <c r="V25" s="8" t="s">
        <v>1006</v>
      </c>
      <c r="W25" s="8" t="s">
        <v>1005</v>
      </c>
      <c r="X25" t="s">
        <v>1013</v>
      </c>
      <c r="Y25" s="3"/>
      <c r="Z25" s="5">
        <v>2.3842592592592596E-2</v>
      </c>
      <c r="AA25" s="1" t="s">
        <v>1018</v>
      </c>
      <c r="AB25" s="8" t="s">
        <v>1019</v>
      </c>
      <c r="AC25"/>
      <c r="AD25" s="3"/>
      <c r="AE25" s="5"/>
      <c r="AF25"/>
      <c r="AG25" s="7"/>
      <c r="AH25"/>
      <c r="AI25" s="3"/>
      <c r="AJ25" s="5"/>
      <c r="AK25"/>
      <c r="AL25" s="7"/>
      <c r="AM25"/>
      <c r="AN25" s="3"/>
      <c r="AO25" s="5"/>
      <c r="AP25"/>
      <c r="AQ25" s="7"/>
      <c r="AR25"/>
      <c r="AS25" s="3"/>
      <c r="AT25" s="5"/>
      <c r="AU25"/>
      <c r="AV25" s="7"/>
      <c r="AW25"/>
      <c r="AX25" s="3"/>
      <c r="AY25" s="5"/>
      <c r="AZ25"/>
      <c r="BA25" s="7"/>
      <c r="BB25"/>
      <c r="BC25" s="3"/>
      <c r="BD25" s="5"/>
      <c r="BE25"/>
      <c r="BF25" s="7"/>
      <c r="BG25" t="s">
        <v>93</v>
      </c>
      <c r="BH25" s="3"/>
      <c r="BI25" s="5"/>
      <c r="BJ25"/>
      <c r="BK25" s="7"/>
      <c r="BL25"/>
      <c r="BM25" s="3"/>
      <c r="BN25" s="5"/>
      <c r="BO25"/>
      <c r="BP25" s="7"/>
      <c r="BQ25"/>
      <c r="BR25" s="3"/>
      <c r="BS25" s="5"/>
      <c r="BT25"/>
      <c r="BU25" s="7"/>
      <c r="BV25"/>
      <c r="BW25" s="3"/>
      <c r="BX25" s="5"/>
      <c r="BY25"/>
      <c r="BZ25" s="7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</row>
    <row r="26" spans="1:103" s="137" customFormat="1" x14ac:dyDescent="0.3">
      <c r="A26" t="s">
        <v>314</v>
      </c>
      <c r="B26">
        <f>IF(A26="","",_xlfn.XLOOKUP(A26,Tab_base[Nom + Prénom],Tab_base[Puce], ""))</f>
        <v>2158056</v>
      </c>
      <c r="C26" t="str">
        <f>IF(A26="","",_xlfn.XLOOKUP(A26,Tab_base[Nom + Prénom],Tab_base[Court],""))</f>
        <v>D40</v>
      </c>
      <c r="D26"/>
      <c r="E26" s="3"/>
      <c r="F26" s="5"/>
      <c r="G26"/>
      <c r="H26" s="7"/>
      <c r="I26" t="s">
        <v>985</v>
      </c>
      <c r="J26" s="3"/>
      <c r="K26" s="5">
        <v>8.4375000000000006E-3</v>
      </c>
      <c r="L26" s="1" t="s">
        <v>988</v>
      </c>
      <c r="M26" s="8" t="s">
        <v>987</v>
      </c>
      <c r="N26"/>
      <c r="O26" s="3"/>
      <c r="P26" s="5"/>
      <c r="Q26" s="7"/>
      <c r="R26" s="7"/>
      <c r="S26"/>
      <c r="T26" s="3"/>
      <c r="U26" s="5"/>
      <c r="V26" s="7"/>
      <c r="W26" s="7"/>
      <c r="X26"/>
      <c r="Y26" s="3"/>
      <c r="Z26" s="5"/>
      <c r="AA26"/>
      <c r="AB26" s="7"/>
      <c r="AC26"/>
      <c r="AD26" s="3"/>
      <c r="AE26" s="5"/>
      <c r="AF26"/>
      <c r="AG26" s="7"/>
      <c r="AH26"/>
      <c r="AI26" s="3"/>
      <c r="AJ26" s="5"/>
      <c r="AK26"/>
      <c r="AL26" s="7"/>
      <c r="AM26"/>
      <c r="AN26" s="3"/>
      <c r="AO26" s="5"/>
      <c r="AP26"/>
      <c r="AQ26" s="7"/>
      <c r="AR26"/>
      <c r="AS26" s="3"/>
      <c r="AT26" s="5"/>
      <c r="AU26"/>
      <c r="AV26" s="7"/>
      <c r="AW26"/>
      <c r="AX26" s="3"/>
      <c r="AY26" s="5"/>
      <c r="AZ26"/>
      <c r="BA26" s="7"/>
      <c r="BB26"/>
      <c r="BC26" s="3"/>
      <c r="BD26" s="5"/>
      <c r="BE26"/>
      <c r="BF26" s="7"/>
      <c r="BG26" t="s">
        <v>93</v>
      </c>
      <c r="BH26" s="3"/>
      <c r="BI26" s="5"/>
      <c r="BJ26"/>
      <c r="BK26" s="7"/>
      <c r="BL26"/>
      <c r="BM26" s="3"/>
      <c r="BN26" s="5"/>
      <c r="BO26"/>
      <c r="BP26" s="7"/>
      <c r="BQ26"/>
      <c r="BR26" s="3"/>
      <c r="BS26" s="5"/>
      <c r="BT26"/>
      <c r="BU26" s="7"/>
      <c r="BV26"/>
      <c r="BW26" s="3"/>
      <c r="BX26" s="5"/>
      <c r="BY26"/>
      <c r="BZ26" s="7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</row>
    <row r="27" spans="1:103" s="137" customFormat="1" x14ac:dyDescent="0.3">
      <c r="A27" t="s">
        <v>317</v>
      </c>
      <c r="B27">
        <f>IF(A27="","",_xlfn.XLOOKUP(A27,Tab_base[Nom + Prénom],Tab_base[Puce], ""))</f>
        <v>8890301</v>
      </c>
      <c r="C27" t="str">
        <f>IF(A27="","",_xlfn.XLOOKUP(A27,Tab_base[Nom + Prénom],Tab_base[Court],""))</f>
        <v>D21</v>
      </c>
      <c r="D27"/>
      <c r="E27" s="3"/>
      <c r="F27" s="5"/>
      <c r="G27"/>
      <c r="H27" s="7"/>
      <c r="I27"/>
      <c r="J27" s="3"/>
      <c r="K27" s="5"/>
      <c r="L27" s="1"/>
      <c r="M27" s="8"/>
      <c r="N27"/>
      <c r="O27" s="3"/>
      <c r="P27" s="5"/>
      <c r="Q27" s="7"/>
      <c r="R27" s="7"/>
      <c r="S27"/>
      <c r="T27" s="3"/>
      <c r="U27" s="5"/>
      <c r="V27" s="7"/>
      <c r="W27" s="7"/>
      <c r="X27"/>
      <c r="Y27" s="3"/>
      <c r="Z27" s="5"/>
      <c r="AA27"/>
      <c r="AB27" s="7"/>
      <c r="AC27"/>
      <c r="AD27" s="3"/>
      <c r="AE27" s="5"/>
      <c r="AF27"/>
      <c r="AG27" s="7"/>
      <c r="AH27"/>
      <c r="AI27" s="3"/>
      <c r="AJ27" s="5"/>
      <c r="AK27"/>
      <c r="AL27" s="7"/>
      <c r="AM27"/>
      <c r="AN27" s="3"/>
      <c r="AO27" s="5"/>
      <c r="AP27"/>
      <c r="AQ27" s="7"/>
      <c r="AR27"/>
      <c r="AS27" s="3"/>
      <c r="AT27" s="5"/>
      <c r="AU27"/>
      <c r="AV27" s="7"/>
      <c r="AW27"/>
      <c r="AX27" s="3"/>
      <c r="AY27" s="5"/>
      <c r="AZ27"/>
      <c r="BA27" s="7"/>
      <c r="BB27"/>
      <c r="BC27" s="3"/>
      <c r="BD27" s="5"/>
      <c r="BE27"/>
      <c r="BF27" s="7"/>
      <c r="BG27" t="s">
        <v>93</v>
      </c>
      <c r="BH27" s="3"/>
      <c r="BI27" s="5"/>
      <c r="BJ27"/>
      <c r="BK27" s="7"/>
      <c r="BL27"/>
      <c r="BM27" s="3"/>
      <c r="BN27" s="5"/>
      <c r="BO27"/>
      <c r="BP27" s="7"/>
      <c r="BQ27"/>
      <c r="BR27" s="3"/>
      <c r="BS27" s="5"/>
      <c r="BT27"/>
      <c r="BU27" s="7"/>
      <c r="BV27"/>
      <c r="BW27" s="3"/>
      <c r="BX27" s="5"/>
      <c r="BY27"/>
      <c r="BZ27" s="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</row>
    <row r="28" spans="1:103" s="137" customFormat="1" x14ac:dyDescent="0.3">
      <c r="A28" t="s">
        <v>319</v>
      </c>
      <c r="B28">
        <f>IF(A28="","",_xlfn.XLOOKUP(A28,Tab_base[Nom + Prénom],Tab_base[Puce], ""))</f>
        <v>8280173</v>
      </c>
      <c r="C28" t="str">
        <f>IF(A28="","",_xlfn.XLOOKUP(A28,Tab_base[Nom + Prénom],Tab_base[Court],""))</f>
        <v>H50</v>
      </c>
      <c r="D28"/>
      <c r="E28" s="3"/>
      <c r="F28" s="5"/>
      <c r="G28" s="1"/>
      <c r="H28" s="8"/>
      <c r="I28"/>
      <c r="J28" s="3"/>
      <c r="K28" s="5"/>
      <c r="L28"/>
      <c r="M28" s="7"/>
      <c r="N28"/>
      <c r="O28" s="3"/>
      <c r="P28" s="5"/>
      <c r="Q28" s="7"/>
      <c r="R28" s="7"/>
      <c r="S28"/>
      <c r="T28" s="3"/>
      <c r="U28" s="5"/>
      <c r="V28" s="7"/>
      <c r="W28" s="7"/>
      <c r="X28" t="s">
        <v>1013</v>
      </c>
      <c r="Y28" s="3"/>
      <c r="Z28" s="5">
        <v>1.5995370370370372E-2</v>
      </c>
      <c r="AA28" s="1" t="s">
        <v>1011</v>
      </c>
      <c r="AB28" s="8" t="s">
        <v>1012</v>
      </c>
      <c r="AC28"/>
      <c r="AD28" s="3"/>
      <c r="AE28" s="5"/>
      <c r="AF28"/>
      <c r="AG28" s="7"/>
      <c r="AH28"/>
      <c r="AI28" s="3"/>
      <c r="AJ28" s="5"/>
      <c r="AK28"/>
      <c r="AL28" s="7"/>
      <c r="AM28"/>
      <c r="AN28" s="3"/>
      <c r="AO28" s="5"/>
      <c r="AP28"/>
      <c r="AQ28" s="7"/>
      <c r="AR28"/>
      <c r="AS28" s="3"/>
      <c r="AT28" s="5"/>
      <c r="AU28"/>
      <c r="AV28" s="7"/>
      <c r="AW28"/>
      <c r="AX28" s="3"/>
      <c r="AY28" s="5"/>
      <c r="AZ28"/>
      <c r="BA28" s="7"/>
      <c r="BB28"/>
      <c r="BC28" s="3"/>
      <c r="BD28" s="5"/>
      <c r="BE28"/>
      <c r="BF28" s="7"/>
      <c r="BG28" t="s">
        <v>93</v>
      </c>
      <c r="BH28" s="3"/>
      <c r="BI28" s="5"/>
      <c r="BJ28"/>
      <c r="BK28" s="7"/>
      <c r="BL28"/>
      <c r="BM28" s="3"/>
      <c r="BN28" s="5"/>
      <c r="BO28"/>
      <c r="BP28" s="7"/>
      <c r="BQ28"/>
      <c r="BR28" s="3"/>
      <c r="BS28" s="5"/>
      <c r="BT28"/>
      <c r="BU28" s="7"/>
      <c r="BV28"/>
      <c r="BW28" s="3"/>
      <c r="BX28" s="5"/>
      <c r="BY28"/>
      <c r="BZ28" s="7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</row>
    <row r="29" spans="1:103" s="137" customFormat="1" x14ac:dyDescent="0.3">
      <c r="A29" t="s">
        <v>326</v>
      </c>
      <c r="B29">
        <f>IF(A29="","",_xlfn.XLOOKUP(A29,Tab_base[Nom + Prénom],Tab_base[Puce], ""))</f>
        <v>1890307</v>
      </c>
      <c r="C29" t="str">
        <f>IF(A29="","",_xlfn.XLOOKUP(A29,Tab_base[Nom + Prénom],Tab_base[Court],""))</f>
        <v>D65</v>
      </c>
      <c r="D29"/>
      <c r="E29" s="3"/>
      <c r="F29" s="5"/>
      <c r="G29" s="1"/>
      <c r="H29" s="8"/>
      <c r="I29"/>
      <c r="J29" s="3"/>
      <c r="K29" s="5"/>
      <c r="L29" s="1"/>
      <c r="M29" s="8"/>
      <c r="N29"/>
      <c r="O29" s="3"/>
      <c r="P29" s="5"/>
      <c r="Q29" s="7"/>
      <c r="R29" s="7"/>
      <c r="S29" t="s">
        <v>73</v>
      </c>
      <c r="T29" s="3"/>
      <c r="U29" s="5" t="s">
        <v>583</v>
      </c>
      <c r="V29" s="7"/>
      <c r="W29" s="7"/>
      <c r="X29" t="s">
        <v>686</v>
      </c>
      <c r="Y29" s="3"/>
      <c r="Z29" s="5" t="s">
        <v>148</v>
      </c>
      <c r="AA29"/>
      <c r="AB29" s="7"/>
      <c r="AC29"/>
      <c r="AD29" s="3"/>
      <c r="AE29" s="5"/>
      <c r="AF29"/>
      <c r="AG29" s="7"/>
      <c r="AH29"/>
      <c r="AI29" s="3"/>
      <c r="AJ29" s="5"/>
      <c r="AK29"/>
      <c r="AL29" s="7"/>
      <c r="AM29"/>
      <c r="AN29" s="3"/>
      <c r="AO29" s="5"/>
      <c r="AP29"/>
      <c r="AQ29" s="7"/>
      <c r="AR29"/>
      <c r="AS29" s="3"/>
      <c r="AT29" s="5"/>
      <c r="AU29"/>
      <c r="AV29" s="7"/>
      <c r="AW29"/>
      <c r="AX29" s="3"/>
      <c r="AY29" s="5"/>
      <c r="AZ29"/>
      <c r="BA29" s="7"/>
      <c r="BB29"/>
      <c r="BC29" s="3"/>
      <c r="BD29" s="5"/>
      <c r="BE29"/>
      <c r="BF29" s="7"/>
      <c r="BG29" t="s">
        <v>93</v>
      </c>
      <c r="BH29" s="3"/>
      <c r="BI29" s="5"/>
      <c r="BJ29"/>
      <c r="BK29" s="7"/>
      <c r="BL29"/>
      <c r="BM29" s="3"/>
      <c r="BN29" s="5"/>
      <c r="BO29"/>
      <c r="BP29" s="7"/>
      <c r="BQ29"/>
      <c r="BR29" s="3"/>
      <c r="BS29" s="5"/>
      <c r="BT29"/>
      <c r="BU29" s="7"/>
      <c r="BV29"/>
      <c r="BW29" s="3"/>
      <c r="BX29" s="5"/>
      <c r="BY29"/>
      <c r="BZ29" s="7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</row>
    <row r="30" spans="1:103" s="137" customFormat="1" x14ac:dyDescent="0.3">
      <c r="A30" t="s">
        <v>328</v>
      </c>
      <c r="B30">
        <f>IF(A30="","",_xlfn.XLOOKUP(A30,Tab_base[Nom + Prénom],Tab_base[Puce], ""))</f>
        <v>8005961</v>
      </c>
      <c r="C30" t="str">
        <f>IF(A30="","",_xlfn.XLOOKUP(A30,Tab_base[Nom + Prénom],Tab_base[Court],""))</f>
        <v>H65</v>
      </c>
      <c r="D30" t="s">
        <v>78</v>
      </c>
      <c r="E30" s="3"/>
      <c r="F30" s="5">
        <v>4.1215277777777774E-2</v>
      </c>
      <c r="G30" s="1" t="s">
        <v>555</v>
      </c>
      <c r="H30" s="8" t="s">
        <v>969</v>
      </c>
      <c r="I30"/>
      <c r="J30" s="3"/>
      <c r="K30" s="5"/>
      <c r="L30"/>
      <c r="M30" s="7"/>
      <c r="N30"/>
      <c r="O30" s="3"/>
      <c r="P30" s="5"/>
      <c r="Q30" s="7"/>
      <c r="R30" s="7"/>
      <c r="S30"/>
      <c r="T30" s="3"/>
      <c r="U30" s="5"/>
      <c r="V30" s="8"/>
      <c r="W30" s="8"/>
      <c r="X30"/>
      <c r="Y30" s="3"/>
      <c r="Z30" s="5"/>
      <c r="AA30"/>
      <c r="AB30" s="7"/>
      <c r="AC30" t="s">
        <v>1029</v>
      </c>
      <c r="AD30" s="3"/>
      <c r="AE30" s="5">
        <v>1.6180555555555556E-2</v>
      </c>
      <c r="AF30" s="1" t="s">
        <v>1030</v>
      </c>
      <c r="AG30" s="8" t="s">
        <v>1031</v>
      </c>
      <c r="AH30" t="s">
        <v>1029</v>
      </c>
      <c r="AI30" s="3"/>
      <c r="AJ30" s="5">
        <v>3.5821759259259262E-2</v>
      </c>
      <c r="AK30" s="1" t="s">
        <v>1032</v>
      </c>
      <c r="AL30" s="8" t="s">
        <v>1033</v>
      </c>
      <c r="AM30" t="s">
        <v>1029</v>
      </c>
      <c r="AN30" s="3"/>
      <c r="AO30" s="5">
        <v>4.2928240740740746E-2</v>
      </c>
      <c r="AP30" s="1" t="s">
        <v>1034</v>
      </c>
      <c r="AQ30" s="8" t="s">
        <v>1035</v>
      </c>
      <c r="AR30" t="s">
        <v>1029</v>
      </c>
      <c r="AS30" s="3"/>
      <c r="AT30" s="5">
        <v>4.2002314814814812E-2</v>
      </c>
      <c r="AU30" t="s">
        <v>1036</v>
      </c>
      <c r="AV30" s="8" t="s">
        <v>1037</v>
      </c>
      <c r="AW30" t="s">
        <v>1029</v>
      </c>
      <c r="AX30" s="3"/>
      <c r="AY30" s="5">
        <v>2.2349537037037032E-2</v>
      </c>
      <c r="AZ30" s="1" t="s">
        <v>1038</v>
      </c>
      <c r="BA30" s="8" t="s">
        <v>1039</v>
      </c>
      <c r="BB30" t="s">
        <v>1029</v>
      </c>
      <c r="BC30" s="3"/>
      <c r="BD30" s="5">
        <v>5.0451388888888893E-2</v>
      </c>
      <c r="BE30" s="1" t="s">
        <v>1040</v>
      </c>
      <c r="BF30" s="8" t="s">
        <v>1041</v>
      </c>
      <c r="BG30" t="s">
        <v>93</v>
      </c>
      <c r="BH30" s="3"/>
      <c r="BI30" s="5"/>
      <c r="BJ30"/>
      <c r="BK30" s="7"/>
      <c r="BL30"/>
      <c r="BM30" s="3"/>
      <c r="BN30" s="5"/>
      <c r="BO30"/>
      <c r="BP30" s="7"/>
      <c r="BQ30"/>
      <c r="BR30" s="3"/>
      <c r="BS30" s="5"/>
      <c r="BT30"/>
      <c r="BU30" s="7"/>
      <c r="BV30"/>
      <c r="BW30" s="3"/>
      <c r="BX30" s="5"/>
      <c r="BY30"/>
      <c r="BZ30" s="7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</row>
    <row r="31" spans="1:103" s="137" customFormat="1" x14ac:dyDescent="0.3">
      <c r="A31" t="s">
        <v>328</v>
      </c>
      <c r="B31">
        <f>IF(A31="","",_xlfn.XLOOKUP(A31,Tab_base[Nom + Prénom],Tab_base[Puce], ""))</f>
        <v>8005961</v>
      </c>
      <c r="C31" t="str">
        <f>IF(A31="","",_xlfn.XLOOKUP(A31,Tab_base[Nom + Prénom],Tab_base[Court],""))</f>
        <v>H65</v>
      </c>
      <c r="D31"/>
      <c r="E31" s="3"/>
      <c r="F31" s="5"/>
      <c r="G31" s="1"/>
      <c r="H31" s="8"/>
      <c r="I31"/>
      <c r="J31" s="3"/>
      <c r="K31" s="5"/>
      <c r="L31"/>
      <c r="M31" s="7"/>
      <c r="N31"/>
      <c r="O31" s="3"/>
      <c r="P31" s="5"/>
      <c r="Q31" s="7"/>
      <c r="R31" s="7"/>
      <c r="S31"/>
      <c r="T31" s="3"/>
      <c r="U31" s="5"/>
      <c r="V31" s="8"/>
      <c r="W31" s="8"/>
      <c r="X31"/>
      <c r="Y31" s="3"/>
      <c r="Z31" s="5"/>
      <c r="AA31"/>
      <c r="AB31" s="7"/>
      <c r="AC31"/>
      <c r="AD31" s="3"/>
      <c r="AE31" s="5"/>
      <c r="AF31" s="1"/>
      <c r="AG31" s="8"/>
      <c r="AH31"/>
      <c r="AI31" s="3"/>
      <c r="AJ31" s="5"/>
      <c r="AK31" s="1"/>
      <c r="AL31" s="8"/>
      <c r="AM31"/>
      <c r="AN31" s="3"/>
      <c r="AO31" s="5"/>
      <c r="AP31" s="1"/>
      <c r="AQ31" s="8"/>
      <c r="AR31"/>
      <c r="AS31" s="3"/>
      <c r="AT31" s="5"/>
      <c r="AU31"/>
      <c r="AV31" s="8"/>
      <c r="AW31"/>
      <c r="AX31" s="3"/>
      <c r="AY31" s="5"/>
      <c r="AZ31" s="1"/>
      <c r="BA31" s="8"/>
      <c r="BB31" t="s">
        <v>1042</v>
      </c>
      <c r="BC31" s="3"/>
      <c r="BD31" s="5">
        <v>0.17120370370370372</v>
      </c>
      <c r="BE31" s="1" t="s">
        <v>1043</v>
      </c>
      <c r="BF31" s="8" t="s">
        <v>1044</v>
      </c>
      <c r="BG31" t="s">
        <v>93</v>
      </c>
      <c r="BH31" s="3"/>
      <c r="BI31" s="5"/>
      <c r="BJ31"/>
      <c r="BK31" s="7"/>
      <c r="BL31"/>
      <c r="BM31" s="3"/>
      <c r="BN31" s="5"/>
      <c r="BO31"/>
      <c r="BP31" s="7"/>
      <c r="BQ31"/>
      <c r="BR31" s="3"/>
      <c r="BS31" s="5"/>
      <c r="BT31"/>
      <c r="BU31" s="7"/>
      <c r="BV31"/>
      <c r="BW31" s="3"/>
      <c r="BX31" s="5"/>
      <c r="BY31"/>
      <c r="BZ31" s="7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</row>
    <row r="32" spans="1:103" s="137" customFormat="1" x14ac:dyDescent="0.3">
      <c r="A32" t="s">
        <v>343</v>
      </c>
      <c r="B32">
        <f>IF(A32="","",_xlfn.XLOOKUP(A32,Tab_base[Nom + Prénom],Tab_base[Puce], ""))</f>
        <v>8546861</v>
      </c>
      <c r="C32" t="str">
        <f>IF(A32="","",_xlfn.XLOOKUP(A32,Tab_base[Nom + Prénom],Tab_base[Court],""))</f>
        <v>D50</v>
      </c>
      <c r="D32"/>
      <c r="E32" s="3"/>
      <c r="F32" s="5"/>
      <c r="G32"/>
      <c r="H32" s="7"/>
      <c r="I32" t="s">
        <v>613</v>
      </c>
      <c r="J32" s="3"/>
      <c r="K32" s="5">
        <v>3.2199074074074074E-2</v>
      </c>
      <c r="L32" s="1" t="s">
        <v>114</v>
      </c>
      <c r="M32" s="8" t="s">
        <v>856</v>
      </c>
      <c r="N32" t="s">
        <v>78</v>
      </c>
      <c r="O32" s="3"/>
      <c r="P32" s="5">
        <v>6.2395833333333338E-2</v>
      </c>
      <c r="Q32" s="8" t="s">
        <v>999</v>
      </c>
      <c r="R32" s="8" t="s">
        <v>1000</v>
      </c>
      <c r="S32"/>
      <c r="T32" s="3"/>
      <c r="U32" s="5"/>
      <c r="V32" s="7"/>
      <c r="W32" s="7"/>
      <c r="X32"/>
      <c r="Y32" s="3"/>
      <c r="Z32" s="5"/>
      <c r="AA32"/>
      <c r="AB32" s="7"/>
      <c r="AC32"/>
      <c r="AD32" s="3"/>
      <c r="AE32" s="5"/>
      <c r="AF32"/>
      <c r="AG32" s="7"/>
      <c r="AH32"/>
      <c r="AI32" s="3"/>
      <c r="AJ32" s="5"/>
      <c r="AK32"/>
      <c r="AL32" s="7"/>
      <c r="AM32"/>
      <c r="AN32" s="3"/>
      <c r="AO32" s="5"/>
      <c r="AP32"/>
      <c r="AQ32" s="7"/>
      <c r="AR32"/>
      <c r="AS32" s="3"/>
      <c r="AT32" s="5"/>
      <c r="AU32"/>
      <c r="AV32" s="7"/>
      <c r="AW32"/>
      <c r="AX32" s="3"/>
      <c r="AY32" s="5"/>
      <c r="AZ32"/>
      <c r="BA32" s="7"/>
      <c r="BB32"/>
      <c r="BC32" s="3"/>
      <c r="BD32" s="5"/>
      <c r="BE32"/>
      <c r="BF32" s="7"/>
      <c r="BG32" t="s">
        <v>93</v>
      </c>
      <c r="BH32" s="3"/>
      <c r="BI32" s="5"/>
      <c r="BJ32"/>
      <c r="BK32" s="7"/>
      <c r="BL32"/>
      <c r="BM32" s="3"/>
      <c r="BN32" s="5"/>
      <c r="BO32"/>
      <c r="BP32" s="7"/>
      <c r="BQ32"/>
      <c r="BR32" s="3"/>
      <c r="BS32" s="5"/>
      <c r="BT32"/>
      <c r="BU32" s="7"/>
      <c r="BV32"/>
      <c r="BW32" s="3"/>
      <c r="BX32" s="5"/>
      <c r="BY32"/>
      <c r="BZ32" s="7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</row>
    <row r="33" spans="1:103" s="138" customFormat="1" x14ac:dyDescent="0.3">
      <c r="A33" s="139" t="s">
        <v>689</v>
      </c>
      <c r="B33" s="139" t="str">
        <f>IF(A33="","",_xlfn.XLOOKUP(A33,Tab_base[Nom + Prénom],Tab_base[Puce], ""))</f>
        <v>.</v>
      </c>
      <c r="C33" s="139" t="str">
        <f>IF(A33="","",_xlfn.XLOOKUP(A33,Tab_base[Nom + Prénom],Tab_base[Court],""))</f>
        <v>.</v>
      </c>
      <c r="D33" s="139">
        <f>IF(COUNTIF(D$3:D32, "&lt;&gt;")=0, "", COUNTIF(D$3:D32, "&lt;&gt;"))</f>
        <v>9</v>
      </c>
      <c r="E33" s="139"/>
      <c r="F33" s="139"/>
      <c r="G33" s="139"/>
      <c r="H33" s="139"/>
      <c r="I33" s="139">
        <f>IF(COUNTIF(I$3:I32, "&lt;&gt;")=0, "", COUNTIF(I$3:I32, "&lt;&gt;"))</f>
        <v>7</v>
      </c>
      <c r="J33" s="139"/>
      <c r="K33" s="139"/>
      <c r="L33" s="139"/>
      <c r="M33" s="139"/>
      <c r="N33" s="139">
        <f>IF(COUNTIF(N$3:N32, "&lt;&gt;")=0, "", COUNTIF(N$3:N32, "&lt;&gt;"))</f>
        <v>7</v>
      </c>
      <c r="O33" s="139"/>
      <c r="P33" s="139"/>
      <c r="Q33" s="139"/>
      <c r="R33" s="139"/>
      <c r="S33" s="139">
        <f>IF(COUNTIF(S$3:S32, "&lt;&gt;")=0, "", COUNTIF(S$3:S32, "&lt;&gt;"))</f>
        <v>9</v>
      </c>
      <c r="T33" s="139"/>
      <c r="U33" s="139"/>
      <c r="V33" s="139"/>
      <c r="W33" s="139"/>
      <c r="X33" s="139">
        <f>IF(COUNTIF(X$3:X32, "&lt;&gt;")=0, "", COUNTIF(X$3:X32, "&lt;&gt;"))</f>
        <v>10</v>
      </c>
      <c r="Y33" s="139"/>
      <c r="Z33" s="139"/>
      <c r="AA33" s="139"/>
      <c r="AB33" s="139"/>
      <c r="AC33" s="139">
        <f>IF(COUNTIF(AC$3:AC32, "&lt;&gt;")=0, "", COUNTIF(AC$3:AC32, "&lt;&gt;"))</f>
        <v>1</v>
      </c>
      <c r="AD33" s="139"/>
      <c r="AE33" s="139"/>
      <c r="AF33" s="139"/>
      <c r="AG33" s="139"/>
      <c r="AH33" s="139">
        <f>IF(COUNTIF(AH$3:AH32, "&lt;&gt;")=0, "", COUNTIF(AH$3:AH32, "&lt;&gt;"))</f>
        <v>1</v>
      </c>
      <c r="AI33" s="139"/>
      <c r="AJ33" s="139"/>
      <c r="AK33" s="139"/>
      <c r="AL33" s="139"/>
      <c r="AM33" s="139">
        <f>IF(COUNTIF(AM$3:AM32, "&lt;&gt;")=0, "", COUNTIF(AM$3:AM32, "&lt;&gt;"))</f>
        <v>1</v>
      </c>
      <c r="AN33" s="139"/>
      <c r="AO33" s="139"/>
      <c r="AP33" s="139"/>
      <c r="AQ33" s="139"/>
      <c r="AR33" s="139">
        <f>IF(COUNTIF(AR$3:AR32, "&lt;&gt;")=0, "", COUNTIF(AR$3:AR32, "&lt;&gt;"))</f>
        <v>1</v>
      </c>
      <c r="AS33" s="139"/>
      <c r="AT33" s="139"/>
      <c r="AU33" s="142"/>
      <c r="AV33" s="139"/>
      <c r="AW33" s="139">
        <f>IF(COUNTIF(AW$3:AW32, "&lt;&gt;")=0, "", COUNTIF(AW$3:AW32, "&lt;&gt;"))</f>
        <v>1</v>
      </c>
      <c r="AX33" s="139"/>
      <c r="AY33" s="139"/>
      <c r="AZ33" s="139"/>
      <c r="BA33" s="139"/>
      <c r="BB33" s="139">
        <f>IF(COUNTIF(BB$3:BB32, "&lt;&gt;")=0, "", COUNTIF(BB$3:BB32, "&lt;&gt;"))</f>
        <v>2</v>
      </c>
      <c r="BC33" s="139"/>
      <c r="BD33" s="139"/>
      <c r="BE33" s="139"/>
      <c r="BF33" s="139"/>
      <c r="BG33" s="139">
        <f>IF(COUNTIF(BG$3:BG32, "&lt;&gt;")=0, "", COUNTIF(BG$3:BG32, "&lt;&gt;"))</f>
        <v>30</v>
      </c>
      <c r="BH33" s="139"/>
      <c r="BI33" s="139"/>
      <c r="BJ33" s="139"/>
      <c r="BK33" s="139"/>
      <c r="BL33" s="139" t="str">
        <f>IF(COUNTIF(BL$3:BL32, "&lt;&gt;")=0, "", COUNTIF(BL$3:BL32, "&lt;&gt;"))</f>
        <v/>
      </c>
      <c r="BM33" s="139"/>
      <c r="BN33" s="139"/>
      <c r="BO33" s="139"/>
      <c r="BP33" s="139"/>
      <c r="BQ33" s="139" t="str">
        <f>IF(COUNTIF(BQ$3:BQ32, "&lt;&gt;")=0, "", COUNTIF(BQ$3:BQ32, "&lt;&gt;"))</f>
        <v/>
      </c>
      <c r="BR33" s="139"/>
      <c r="BS33" s="139"/>
      <c r="BT33" s="139"/>
      <c r="BU33" s="139"/>
      <c r="BV33" s="139" t="str">
        <f>IF(COUNTIF(BV$3:BV32, "&lt;&gt;")=0, "", COUNTIF(BV$3:BV32, "&lt;&gt;"))</f>
        <v/>
      </c>
      <c r="BW33" s="139"/>
      <c r="BX33" s="139"/>
      <c r="BY33" s="139"/>
      <c r="BZ33" s="139"/>
      <c r="CA33" s="139" t="str">
        <f>IF(COUNTIF(CA$3:CA32, "&lt;&gt;")=0, "", COUNTIF(CA$3:CA32, "&lt;&gt;"))</f>
        <v/>
      </c>
      <c r="CB33" s="139"/>
      <c r="CC33" s="139"/>
      <c r="CD33" s="139"/>
      <c r="CE33" s="139"/>
      <c r="CF33" s="139" t="str">
        <f>IF(COUNTIF(CF$3:CF32, "&lt;&gt;")=0, "", COUNTIF(CF$3:CF32, "&lt;&gt;"))</f>
        <v/>
      </c>
      <c r="CG33" s="139"/>
      <c r="CH33" s="139"/>
      <c r="CI33" s="139"/>
      <c r="CJ33" s="139"/>
      <c r="CK33" s="139" t="str">
        <f>IF(COUNTIF(CK$3:CK32, "&lt;&gt;")=0, "", COUNTIF(CK$3:CK32, "&lt;&gt;"))</f>
        <v/>
      </c>
      <c r="CL33" s="139"/>
      <c r="CM33" s="139"/>
      <c r="CN33" s="139"/>
      <c r="CO33" s="139"/>
      <c r="CP33" s="139" t="str">
        <f>IF(COUNTIF(CP$3:CP32, "&lt;&gt;")=0, "", COUNTIF(CP$3:CP32, "&lt;&gt;"))</f>
        <v/>
      </c>
      <c r="CQ33" s="139"/>
      <c r="CR33" s="139"/>
      <c r="CS33" s="139"/>
      <c r="CT33" s="139"/>
      <c r="CU33" s="139" t="str">
        <f>IF(COUNTIF(CU$3:CU32, "&lt;&gt;")=0, "", COUNTIF(CU$3:CU32, "&lt;&gt;"))</f>
        <v/>
      </c>
      <c r="CV33" s="139"/>
      <c r="CW33" s="139"/>
      <c r="CX33" s="139"/>
      <c r="CY33" s="139"/>
    </row>
    <row r="34" spans="1:103" s="137" customFormat="1" x14ac:dyDescent="0.3">
      <c r="A34"/>
      <c r="B34" t="str">
        <f>IF(A34="","",_xlfn.XLOOKUP(A34,Tab_base[Nom + Prénom],Tab_base[Puce], ""))</f>
        <v/>
      </c>
      <c r="C34" t="str">
        <f>IF(A34="","",_xlfn.XLOOKUP(A34,Tab_base[Nom + Prénom],Tab_base[Court],""))</f>
        <v/>
      </c>
      <c r="D34"/>
      <c r="E34" s="3"/>
      <c r="F34" s="5"/>
      <c r="G34"/>
      <c r="H34" s="7"/>
      <c r="I34"/>
      <c r="J34" s="3"/>
      <c r="K34" s="5"/>
      <c r="L34"/>
      <c r="M34" s="7"/>
      <c r="N34"/>
      <c r="O34" s="3"/>
      <c r="P34" s="5"/>
      <c r="Q34" s="7"/>
      <c r="R34" s="7"/>
      <c r="S34"/>
      <c r="T34" s="3"/>
      <c r="U34" s="5"/>
      <c r="V34" s="7"/>
      <c r="W34" s="7"/>
      <c r="X34"/>
      <c r="Y34" s="3"/>
      <c r="Z34" s="5"/>
      <c r="AA34"/>
      <c r="AB34" s="7"/>
      <c r="AC34"/>
      <c r="AD34" s="3"/>
      <c r="AE34" s="5"/>
      <c r="AF34"/>
      <c r="AG34" s="7"/>
      <c r="AH34"/>
      <c r="AI34" s="3"/>
      <c r="AJ34" s="5"/>
      <c r="AK34"/>
      <c r="AL34" s="7"/>
      <c r="AM34"/>
      <c r="AN34" s="3"/>
      <c r="AO34" s="5"/>
      <c r="AP34"/>
      <c r="AQ34" s="7"/>
      <c r="AR34"/>
      <c r="AS34" s="3"/>
      <c r="AT34" s="5"/>
      <c r="AU34"/>
      <c r="AV34" s="7"/>
      <c r="AW34"/>
      <c r="AX34" s="3"/>
      <c r="AY34" s="5"/>
      <c r="AZ34"/>
      <c r="BA34" s="7"/>
      <c r="BB34"/>
      <c r="BC34" s="3"/>
      <c r="BD34" s="5"/>
      <c r="BE34"/>
      <c r="BF34" s="7"/>
      <c r="BG34"/>
      <c r="BH34" s="3"/>
      <c r="BI34" s="5"/>
      <c r="BJ34"/>
      <c r="BK34" s="7"/>
      <c r="BL34"/>
      <c r="BM34" s="3"/>
      <c r="BN34" s="5"/>
      <c r="BO34"/>
      <c r="BP34" s="7"/>
      <c r="BQ34"/>
      <c r="BR34" s="3"/>
      <c r="BS34" s="5"/>
      <c r="BT34"/>
      <c r="BU34" s="7"/>
      <c r="BV34"/>
      <c r="BW34" s="3"/>
      <c r="BX34" s="5"/>
      <c r="BY34"/>
      <c r="BZ34" s="7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</row>
    <row r="35" spans="1:103" s="137" customFormat="1" ht="13.2" customHeight="1" x14ac:dyDescent="0.3">
      <c r="A35"/>
      <c r="B35" t="str">
        <f>IF(A35="","",_xlfn.XLOOKUP(A35,Tab_base[Nom + Prénom],Tab_base[Puce], ""))</f>
        <v/>
      </c>
      <c r="C35" t="str">
        <f>IF(A35="","",_xlfn.XLOOKUP(A35,Tab_base[Nom + Prénom],Tab_base[Court],""))</f>
        <v/>
      </c>
      <c r="D35"/>
      <c r="E35" s="3"/>
      <c r="F35" s="5"/>
      <c r="G35"/>
      <c r="H35" s="7"/>
      <c r="I35"/>
      <c r="J35" s="3"/>
      <c r="K35" s="5"/>
      <c r="L35"/>
      <c r="M35" s="7"/>
      <c r="N35"/>
      <c r="O35" s="3"/>
      <c r="P35" s="5"/>
      <c r="Q35" s="7"/>
      <c r="R35" s="7"/>
      <c r="S35"/>
      <c r="T35" s="3"/>
      <c r="U35" s="5"/>
      <c r="V35" s="7"/>
      <c r="W35" s="7"/>
      <c r="X35"/>
      <c r="Y35" s="3"/>
      <c r="Z35" s="5"/>
      <c r="AA35"/>
      <c r="AB35" s="7"/>
      <c r="AC35"/>
      <c r="AD35" s="3"/>
      <c r="AE35" s="5"/>
      <c r="AF35"/>
      <c r="AG35" s="7"/>
      <c r="AH35"/>
      <c r="AI35" s="3"/>
      <c r="AJ35" s="5"/>
      <c r="AK35"/>
      <c r="AL35" s="7"/>
      <c r="AM35"/>
      <c r="AN35" s="3"/>
      <c r="AO35" s="5"/>
      <c r="AP35"/>
      <c r="AQ35" s="7"/>
      <c r="AR35"/>
      <c r="AS35" s="3"/>
      <c r="AT35" s="5"/>
      <c r="AU35"/>
      <c r="AV35" s="7"/>
      <c r="AW35"/>
      <c r="AX35" s="3"/>
      <c r="AY35" s="5"/>
      <c r="AZ35"/>
      <c r="BA35" s="7"/>
      <c r="BB35"/>
      <c r="BC35" s="3"/>
      <c r="BD35" s="5"/>
      <c r="BE35"/>
      <c r="BF35" s="7"/>
      <c r="BG35"/>
      <c r="BH35" s="3"/>
      <c r="BI35" s="5"/>
      <c r="BJ35"/>
      <c r="BK35" s="7"/>
      <c r="BL35"/>
      <c r="BM35" s="3"/>
      <c r="BN35" s="5"/>
      <c r="BO35"/>
      <c r="BP35" s="7"/>
      <c r="BQ35"/>
      <c r="BR35" s="3"/>
      <c r="BS35" s="5"/>
      <c r="BT35"/>
      <c r="BU35" s="7"/>
      <c r="BV35"/>
      <c r="BW35" s="3"/>
      <c r="BX35" s="5"/>
      <c r="BY35"/>
      <c r="BZ35" s="7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</row>
    <row r="42" spans="1:103" x14ac:dyDescent="0.3">
      <c r="BW42"/>
      <c r="BX42" s="3"/>
      <c r="BY42" s="5"/>
      <c r="BZ42"/>
      <c r="CA42" s="7"/>
    </row>
    <row r="46" spans="1:103" x14ac:dyDescent="0.3">
      <c r="BH46"/>
      <c r="BI46"/>
      <c r="BK46"/>
      <c r="BM46"/>
      <c r="BN46"/>
      <c r="BP46"/>
      <c r="BR46"/>
      <c r="BS46"/>
      <c r="BU46"/>
      <c r="BW46"/>
      <c r="BX46"/>
      <c r="BZ46"/>
    </row>
    <row r="52" spans="75:78" x14ac:dyDescent="0.3">
      <c r="BW52"/>
      <c r="BX52"/>
      <c r="BZ52"/>
    </row>
    <row r="53" spans="75:78" x14ac:dyDescent="0.3">
      <c r="BW53"/>
      <c r="BX53"/>
      <c r="BZ53"/>
    </row>
    <row r="54" spans="75:78" x14ac:dyDescent="0.3">
      <c r="BW54"/>
      <c r="BX54"/>
      <c r="BZ54"/>
    </row>
    <row r="55" spans="75:78" x14ac:dyDescent="0.3">
      <c r="BW55"/>
      <c r="BX55"/>
      <c r="BZ55"/>
    </row>
    <row r="56" spans="75:78" x14ac:dyDescent="0.3">
      <c r="BW56"/>
      <c r="BX56"/>
      <c r="BZ56"/>
    </row>
    <row r="57" spans="75:78" x14ac:dyDescent="0.3">
      <c r="BW57"/>
      <c r="BX57"/>
      <c r="BZ57"/>
    </row>
    <row r="58" spans="75:78" x14ac:dyDescent="0.3">
      <c r="BW58"/>
      <c r="BX58"/>
      <c r="BZ58"/>
    </row>
    <row r="59" spans="75:78" x14ac:dyDescent="0.3">
      <c r="BW59"/>
      <c r="BX59"/>
      <c r="BZ59"/>
    </row>
    <row r="63" spans="75:78" x14ac:dyDescent="0.3">
      <c r="BW63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8FF2F6-E3CB-478E-A50F-10413E2CA8B8}">
          <x14:formula1>
            <xm:f>base!$Y$2:$Y$93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3739A-0735-412C-8A2C-9CD77BD5FFE1}">
  <sheetPr codeName="Feuil9"/>
  <dimension ref="A1:OV5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5" sqref="A25:XFD25"/>
    </sheetView>
  </sheetViews>
  <sheetFormatPr baseColWidth="10" defaultColWidth="9.109375" defaultRowHeight="14.4" x14ac:dyDescent="0.3"/>
  <cols>
    <col min="1" max="1" width="18.21875" bestFit="1" customWidth="1"/>
    <col min="2" max="2" width="8" bestFit="1" customWidth="1"/>
    <col min="3" max="3" width="5.44140625" customWidth="1"/>
    <col min="4" max="4" width="20.5546875" bestFit="1" customWidth="1"/>
    <col min="5" max="5" width="6.109375" style="3" bestFit="1" customWidth="1"/>
    <col min="6" max="6" width="9.109375" style="5" bestFit="1" customWidth="1"/>
    <col min="7" max="7" width="24" bestFit="1" customWidth="1"/>
    <col min="8" max="8" width="8.109375" style="7" bestFit="1" customWidth="1"/>
    <col min="9" max="9" width="21.21875" bestFit="1" customWidth="1"/>
    <col min="10" max="10" width="6.109375" style="3" bestFit="1" customWidth="1"/>
    <col min="11" max="11" width="7.109375" style="5" bestFit="1" customWidth="1"/>
    <col min="12" max="12" width="5.77734375" bestFit="1" customWidth="1"/>
    <col min="13" max="13" width="8.109375" style="7" bestFit="1" customWidth="1"/>
    <col min="14" max="14" width="30.21875" bestFit="1" customWidth="1"/>
    <col min="15" max="15" width="6.109375" style="3" bestFit="1" customWidth="1"/>
    <col min="16" max="16" width="7.109375" style="5" bestFit="1" customWidth="1"/>
    <col min="17" max="17" width="5.77734375" style="7" bestFit="1" customWidth="1"/>
    <col min="18" max="18" width="6.77734375" style="7" bestFit="1" customWidth="1"/>
    <col min="19" max="19" width="28.77734375" bestFit="1" customWidth="1"/>
    <col min="20" max="20" width="6.109375" style="3" bestFit="1" customWidth="1"/>
    <col min="21" max="21" width="7.109375" style="5" bestFit="1" customWidth="1"/>
    <col min="22" max="22" width="6.5546875" style="7" bestFit="1" customWidth="1"/>
    <col min="23" max="23" width="8.109375" style="7" bestFit="1" customWidth="1"/>
    <col min="24" max="24" width="26.33203125" bestFit="1" customWidth="1"/>
    <col min="25" max="25" width="6.109375" style="3" bestFit="1" customWidth="1"/>
    <col min="26" max="26" width="6" style="5" bestFit="1" customWidth="1"/>
    <col min="27" max="27" width="4.5546875" bestFit="1" customWidth="1"/>
    <col min="28" max="28" width="5.21875" style="7" bestFit="1" customWidth="1"/>
    <col min="29" max="29" width="27.77734375" bestFit="1" customWidth="1"/>
    <col min="30" max="30" width="6.109375" style="3" bestFit="1" customWidth="1"/>
    <col min="31" max="31" width="6" style="5" bestFit="1" customWidth="1"/>
    <col min="32" max="32" width="4.5546875" bestFit="1" customWidth="1"/>
    <col min="33" max="33" width="5.21875" style="7" bestFit="1" customWidth="1"/>
    <col min="34" max="34" width="26.88671875" bestFit="1" customWidth="1"/>
    <col min="35" max="35" width="6.109375" style="3" bestFit="1" customWidth="1"/>
    <col min="36" max="36" width="6" style="5" bestFit="1" customWidth="1"/>
    <col min="37" max="37" width="4.5546875" bestFit="1" customWidth="1"/>
    <col min="38" max="38" width="5.21875" style="7" bestFit="1" customWidth="1"/>
    <col min="39" max="39" width="24.44140625" bestFit="1" customWidth="1"/>
    <col min="40" max="40" width="6.109375" style="3" bestFit="1" customWidth="1"/>
    <col min="41" max="41" width="6" style="5" bestFit="1" customWidth="1"/>
    <col min="42" max="42" width="4.5546875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6" style="5" bestFit="1" customWidth="1"/>
    <col min="47" max="47" width="4.5546875" bestFit="1" customWidth="1"/>
    <col min="48" max="48" width="5.218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5.5546875" bestFit="1" customWidth="1"/>
    <col min="58" max="58" width="5.218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24.44140625" bestFit="1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14.77734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  <col min="104" max="412" width="9.109375" style="137"/>
  </cols>
  <sheetData>
    <row r="1" spans="1:103" x14ac:dyDescent="0.3">
      <c r="A1" t="s">
        <v>0</v>
      </c>
      <c r="D1" t="s">
        <v>813</v>
      </c>
      <c r="I1" t="s">
        <v>861</v>
      </c>
      <c r="N1" t="s">
        <v>862</v>
      </c>
      <c r="S1" t="s">
        <v>866</v>
      </c>
    </row>
    <row r="2" spans="1:103" x14ac:dyDescent="0.3">
      <c r="A2" t="s">
        <v>3</v>
      </c>
      <c r="B2" t="s">
        <v>4</v>
      </c>
      <c r="C2" s="1" t="s">
        <v>5</v>
      </c>
      <c r="D2" t="s">
        <v>6</v>
      </c>
      <c r="E2" s="3" t="s">
        <v>7</v>
      </c>
      <c r="F2" s="5" t="s">
        <v>8</v>
      </c>
      <c r="G2" s="1" t="s">
        <v>9</v>
      </c>
      <c r="H2" s="7" t="s">
        <v>490</v>
      </c>
      <c r="I2" t="s">
        <v>11</v>
      </c>
      <c r="J2" s="3" t="s">
        <v>12</v>
      </c>
      <c r="K2" s="5" t="s">
        <v>13</v>
      </c>
      <c r="L2" t="s">
        <v>14</v>
      </c>
      <c r="M2" s="8" t="s">
        <v>500</v>
      </c>
      <c r="N2" t="s">
        <v>15</v>
      </c>
      <c r="O2" s="3" t="s">
        <v>16</v>
      </c>
      <c r="P2" s="5" t="s">
        <v>17</v>
      </c>
      <c r="Q2" s="7" t="s">
        <v>18</v>
      </c>
      <c r="R2" s="7" t="s">
        <v>499</v>
      </c>
      <c r="S2" t="s">
        <v>19</v>
      </c>
      <c r="T2" s="3" t="s">
        <v>20</v>
      </c>
      <c r="U2" s="5" t="s">
        <v>21</v>
      </c>
      <c r="V2" s="7" t="s">
        <v>22</v>
      </c>
      <c r="W2" s="7" t="s">
        <v>498</v>
      </c>
      <c r="X2" t="s">
        <v>23</v>
      </c>
      <c r="Y2" s="3" t="s">
        <v>24</v>
      </c>
      <c r="Z2" s="5" t="s">
        <v>25</v>
      </c>
      <c r="AA2" t="s">
        <v>26</v>
      </c>
      <c r="AB2" s="7" t="s">
        <v>486</v>
      </c>
      <c r="AC2" t="s">
        <v>27</v>
      </c>
      <c r="AD2" s="3" t="s">
        <v>28</v>
      </c>
      <c r="AE2" s="5" t="s">
        <v>29</v>
      </c>
      <c r="AF2" t="s">
        <v>30</v>
      </c>
      <c r="AG2" s="7" t="s">
        <v>487</v>
      </c>
      <c r="AH2" t="s">
        <v>31</v>
      </c>
      <c r="AI2" s="3" t="s">
        <v>32</v>
      </c>
      <c r="AJ2" s="5" t="s">
        <v>33</v>
      </c>
      <c r="AK2" t="s">
        <v>34</v>
      </c>
      <c r="AL2" s="7" t="s">
        <v>488</v>
      </c>
      <c r="AM2" t="s">
        <v>35</v>
      </c>
      <c r="AN2" s="3" t="s">
        <v>36</v>
      </c>
      <c r="AO2" s="5" t="s">
        <v>37</v>
      </c>
      <c r="AP2" t="s">
        <v>38</v>
      </c>
      <c r="AQ2" s="7" t="s">
        <v>489</v>
      </c>
      <c r="AR2" t="s">
        <v>39</v>
      </c>
      <c r="AS2" s="3" t="s">
        <v>40</v>
      </c>
      <c r="AT2" s="5" t="s">
        <v>41</v>
      </c>
      <c r="AU2" t="s">
        <v>42</v>
      </c>
      <c r="AV2" s="7" t="s">
        <v>491</v>
      </c>
      <c r="AW2" t="s">
        <v>43</v>
      </c>
      <c r="AX2" s="3" t="s">
        <v>44</v>
      </c>
      <c r="AY2" s="5" t="s">
        <v>45</v>
      </c>
      <c r="AZ2" t="s">
        <v>46</v>
      </c>
      <c r="BA2" s="7" t="s">
        <v>497</v>
      </c>
      <c r="BB2" t="s">
        <v>47</v>
      </c>
      <c r="BC2" s="3" t="s">
        <v>48</v>
      </c>
      <c r="BD2" s="5" t="s">
        <v>49</v>
      </c>
      <c r="BE2" t="s">
        <v>50</v>
      </c>
      <c r="BF2" s="7" t="s">
        <v>496</v>
      </c>
      <c r="BG2" t="s">
        <v>51</v>
      </c>
      <c r="BH2" s="3" t="s">
        <v>52</v>
      </c>
      <c r="BI2" s="5" t="s">
        <v>53</v>
      </c>
      <c r="BJ2" t="s">
        <v>54</v>
      </c>
      <c r="BK2" s="7" t="s">
        <v>495</v>
      </c>
      <c r="BL2" t="s">
        <v>55</v>
      </c>
      <c r="BM2" s="3" t="s">
        <v>56</v>
      </c>
      <c r="BN2" s="5" t="s">
        <v>57</v>
      </c>
      <c r="BO2" t="s">
        <v>58</v>
      </c>
      <c r="BP2" s="7" t="s">
        <v>494</v>
      </c>
      <c r="BQ2" t="s">
        <v>59</v>
      </c>
      <c r="BR2" s="3" t="s">
        <v>60</v>
      </c>
      <c r="BS2" s="5" t="s">
        <v>61</v>
      </c>
      <c r="BT2" t="s">
        <v>62</v>
      </c>
      <c r="BU2" s="7" t="s">
        <v>493</v>
      </c>
      <c r="BV2" t="s">
        <v>63</v>
      </c>
      <c r="BW2" s="3" t="s">
        <v>64</v>
      </c>
      <c r="BX2" s="5" t="s">
        <v>65</v>
      </c>
      <c r="BY2" t="s">
        <v>66</v>
      </c>
      <c r="BZ2" s="7" t="s">
        <v>492</v>
      </c>
      <c r="CA2" t="s">
        <v>524</v>
      </c>
      <c r="CB2" s="3" t="s">
        <v>525</v>
      </c>
      <c r="CC2" s="5" t="s">
        <v>526</v>
      </c>
      <c r="CD2" t="s">
        <v>527</v>
      </c>
      <c r="CE2" s="7" t="s">
        <v>528</v>
      </c>
      <c r="CF2" t="s">
        <v>530</v>
      </c>
      <c r="CG2" s="3" t="s">
        <v>531</v>
      </c>
      <c r="CH2" s="5" t="s">
        <v>532</v>
      </c>
      <c r="CI2" t="s">
        <v>533</v>
      </c>
      <c r="CJ2" s="7" t="s">
        <v>534</v>
      </c>
      <c r="CK2" t="s">
        <v>537</v>
      </c>
      <c r="CL2" t="s">
        <v>538</v>
      </c>
      <c r="CM2" t="s">
        <v>539</v>
      </c>
      <c r="CN2" t="s">
        <v>541</v>
      </c>
      <c r="CO2" t="s">
        <v>540</v>
      </c>
      <c r="CP2" t="s">
        <v>543</v>
      </c>
      <c r="CQ2" t="s">
        <v>544</v>
      </c>
      <c r="CR2" t="s">
        <v>545</v>
      </c>
      <c r="CS2" t="s">
        <v>546</v>
      </c>
      <c r="CT2" t="s">
        <v>547</v>
      </c>
      <c r="CU2" t="s">
        <v>742</v>
      </c>
      <c r="CV2" t="s">
        <v>743</v>
      </c>
      <c r="CW2" t="s">
        <v>744</v>
      </c>
      <c r="CX2" t="s">
        <v>745</v>
      </c>
      <c r="CY2" t="s">
        <v>746</v>
      </c>
    </row>
    <row r="3" spans="1:103" x14ac:dyDescent="0.3">
      <c r="A3" t="s">
        <v>213</v>
      </c>
      <c r="B3">
        <f>IF(A3="","",_xlfn.XLOOKUP(A3,Tab_base[Nom + Prénom],Tab_base[Puce], ""))</f>
        <v>8018903</v>
      </c>
      <c r="C3" t="str">
        <f>IF(A3="","",_xlfn.XLOOKUP(A3,Tab_base[Nom + Prénom],Tab_base[Court],""))</f>
        <v>H55</v>
      </c>
      <c r="G3" s="1"/>
      <c r="M3" s="8"/>
      <c r="S3" t="s">
        <v>78</v>
      </c>
      <c r="U3" s="5">
        <v>6.6342592592592592E-2</v>
      </c>
      <c r="V3" s="8" t="s">
        <v>876</v>
      </c>
      <c r="W3" s="8" t="s">
        <v>877</v>
      </c>
      <c r="CB3" s="3"/>
      <c r="CC3" s="5"/>
      <c r="CE3" s="7"/>
      <c r="CG3" s="3"/>
      <c r="CH3" s="5"/>
      <c r="CJ3" s="7"/>
    </row>
    <row r="4" spans="1:103" x14ac:dyDescent="0.3">
      <c r="A4" t="s">
        <v>217</v>
      </c>
      <c r="B4">
        <f>IF(A4="","",_xlfn.XLOOKUP(A4,Tab_base[Nom + Prénom],Tab_base[Puce], ""))</f>
        <v>8050858</v>
      </c>
      <c r="C4" t="str">
        <f>IF(A4="","",_xlfn.XLOOKUP(A4,Tab_base[Nom + Prénom],Tab_base[Court],""))</f>
        <v>H65</v>
      </c>
      <c r="G4" s="1"/>
      <c r="I4" t="s">
        <v>97</v>
      </c>
      <c r="K4" s="5">
        <v>6.3055555555555545E-2</v>
      </c>
      <c r="L4" s="1" t="s">
        <v>841</v>
      </c>
      <c r="M4" s="8" t="s">
        <v>840</v>
      </c>
      <c r="S4" t="s">
        <v>871</v>
      </c>
      <c r="U4" s="5">
        <v>6.1898148148148147E-2</v>
      </c>
      <c r="V4" s="8" t="s">
        <v>872</v>
      </c>
      <c r="W4" s="8" t="s">
        <v>873</v>
      </c>
      <c r="CB4" s="3"/>
      <c r="CC4" s="5"/>
      <c r="CE4" s="7"/>
      <c r="CG4" s="3"/>
      <c r="CH4" s="5"/>
      <c r="CJ4" s="7"/>
    </row>
    <row r="5" spans="1:103" x14ac:dyDescent="0.3">
      <c r="A5" t="s">
        <v>223</v>
      </c>
      <c r="B5">
        <f>IF(A5="","",_xlfn.XLOOKUP(A5,Tab_base[Nom + Prénom],Tab_base[Puce], ""))</f>
        <v>8581786</v>
      </c>
      <c r="C5" t="str">
        <f>IF(A5="","",_xlfn.XLOOKUP(A5,Tab_base[Nom + Prénom],Tab_base[Court],""))</f>
        <v>H21</v>
      </c>
      <c r="D5" t="s">
        <v>818</v>
      </c>
      <c r="F5" s="5">
        <v>3.664351851851852E-2</v>
      </c>
      <c r="G5" s="1" t="s">
        <v>821</v>
      </c>
      <c r="H5" s="8" t="s">
        <v>819</v>
      </c>
      <c r="I5" t="s">
        <v>95</v>
      </c>
      <c r="K5" s="5">
        <v>5.6620370370370376E-2</v>
      </c>
      <c r="L5" s="1" t="s">
        <v>833</v>
      </c>
      <c r="M5" s="8" t="s">
        <v>834</v>
      </c>
    </row>
    <row r="6" spans="1:103" x14ac:dyDescent="0.3">
      <c r="A6" t="s">
        <v>228</v>
      </c>
      <c r="B6">
        <f>IF(A6="","",_xlfn.XLOOKUP(A6,Tab_base[Nom + Prénom],Tab_base[Puce], ""))</f>
        <v>8500492</v>
      </c>
      <c r="C6" t="str">
        <f>IF(A6="","",_xlfn.XLOOKUP(A6,Tab_base[Nom + Prénom],Tab_base[Court],""))</f>
        <v>H18</v>
      </c>
      <c r="G6" s="1"/>
      <c r="H6" s="8"/>
      <c r="L6" s="1"/>
      <c r="M6" s="8"/>
      <c r="S6" t="s">
        <v>78</v>
      </c>
      <c r="U6" s="5">
        <v>5.3182870370370366E-2</v>
      </c>
      <c r="V6" s="8" t="s">
        <v>874</v>
      </c>
      <c r="W6" s="7" t="s">
        <v>875</v>
      </c>
    </row>
    <row r="7" spans="1:103" x14ac:dyDescent="0.3">
      <c r="A7" t="s">
        <v>231</v>
      </c>
      <c r="B7">
        <f>IF(A7="","",_xlfn.XLOOKUP(A7,Tab_base[Nom + Prénom],Tab_base[Puce], ""))</f>
        <v>8500434</v>
      </c>
      <c r="C7" t="str">
        <f>IF(A7="","",_xlfn.XLOOKUP(A7,Tab_base[Nom + Prénom],Tab_base[Court],""))</f>
        <v>H45</v>
      </c>
      <c r="G7" s="1"/>
      <c r="H7" s="8"/>
      <c r="L7" s="1"/>
      <c r="M7" s="8"/>
      <c r="S7" t="s">
        <v>78</v>
      </c>
      <c r="U7" s="5">
        <v>8.1701388888888893E-2</v>
      </c>
      <c r="V7" s="8" t="s">
        <v>879</v>
      </c>
      <c r="W7" s="8" t="s">
        <v>881</v>
      </c>
    </row>
    <row r="8" spans="1:103" x14ac:dyDescent="0.3">
      <c r="A8" t="s">
        <v>234</v>
      </c>
      <c r="B8">
        <f>IF(A8="","",_xlfn.XLOOKUP(A8,Tab_base[Nom + Prénom],Tab_base[Puce], ""))</f>
        <v>8161718</v>
      </c>
      <c r="C8" t="str">
        <f>IF(A8="","",_xlfn.XLOOKUP(A8,Tab_base[Nom + Prénom],Tab_base[Court],""))</f>
        <v>D20</v>
      </c>
      <c r="G8" s="1"/>
      <c r="H8" s="8"/>
      <c r="I8" t="s">
        <v>95</v>
      </c>
      <c r="K8" s="5">
        <v>0.11300925925925925</v>
      </c>
      <c r="L8" s="1" t="s">
        <v>828</v>
      </c>
      <c r="M8" s="8" t="s">
        <v>827</v>
      </c>
    </row>
    <row r="9" spans="1:103" x14ac:dyDescent="0.3">
      <c r="A9" t="s">
        <v>236</v>
      </c>
      <c r="B9">
        <f>IF(A9="","",_xlfn.XLOOKUP(A9,Tab_base[Nom + Prénom],Tab_base[Puce], ""))</f>
        <v>8171016</v>
      </c>
      <c r="C9" t="str">
        <f>IF(A9="","",_xlfn.XLOOKUP(A9,Tab_base[Nom + Prénom],Tab_base[Court],""))</f>
        <v>D20</v>
      </c>
      <c r="G9" s="1"/>
      <c r="H9" s="8"/>
      <c r="I9" t="s">
        <v>95</v>
      </c>
      <c r="K9" s="5">
        <v>7.0636574074074074E-2</v>
      </c>
      <c r="L9" s="1" t="s">
        <v>831</v>
      </c>
      <c r="M9" s="8" t="s">
        <v>800</v>
      </c>
    </row>
    <row r="10" spans="1:103" x14ac:dyDescent="0.3">
      <c r="A10" t="s">
        <v>239</v>
      </c>
      <c r="B10">
        <f>IF(A10="","",_xlfn.XLOOKUP(A10,Tab_base[Nom + Prénom],Tab_base[Puce], ""))</f>
        <v>8534679</v>
      </c>
      <c r="C10" t="str">
        <f>IF(A10="","",_xlfn.XLOOKUP(A10,Tab_base[Nom + Prénom],Tab_base[Court],""))</f>
        <v>H14</v>
      </c>
      <c r="G10" s="1"/>
      <c r="H10" s="8"/>
      <c r="I10" t="s">
        <v>104</v>
      </c>
      <c r="K10" s="5">
        <v>6.2303240740740735E-2</v>
      </c>
      <c r="L10" s="1" t="s">
        <v>852</v>
      </c>
      <c r="M10" s="8" t="s">
        <v>853</v>
      </c>
    </row>
    <row r="11" spans="1:103" x14ac:dyDescent="0.3">
      <c r="A11" t="s">
        <v>241</v>
      </c>
      <c r="B11">
        <f>IF(A11="","",_xlfn.XLOOKUP(A11,Tab_base[Nom + Prénom],Tab_base[Puce], ""))</f>
        <v>8534692</v>
      </c>
      <c r="C11" t="str">
        <f>IF(A11="","",_xlfn.XLOOKUP(A11,Tab_base[Nom + Prénom],Tab_base[Court],""))</f>
        <v>H40</v>
      </c>
      <c r="G11" s="1"/>
      <c r="H11" s="8"/>
      <c r="I11" t="s">
        <v>97</v>
      </c>
      <c r="K11" s="5">
        <v>7.363425925925926E-2</v>
      </c>
      <c r="L11" s="1" t="s">
        <v>844</v>
      </c>
      <c r="M11" s="8" t="s">
        <v>845</v>
      </c>
    </row>
    <row r="12" spans="1:103" x14ac:dyDescent="0.3">
      <c r="A12" t="s">
        <v>246</v>
      </c>
      <c r="B12">
        <f>IF(A12="","",_xlfn.XLOOKUP(A12,Tab_base[Nom + Prénom],Tab_base[Puce], ""))</f>
        <v>8545607</v>
      </c>
      <c r="C12" t="str">
        <f>IF(A12="","",_xlfn.XLOOKUP(A12,Tab_base[Nom + Prénom],Tab_base[Court],""))</f>
        <v>D70</v>
      </c>
      <c r="G12" s="1"/>
      <c r="H12" s="8"/>
      <c r="I12" t="s">
        <v>104</v>
      </c>
      <c r="K12" s="5">
        <v>7.2719907407407414E-2</v>
      </c>
      <c r="L12" s="1" t="s">
        <v>855</v>
      </c>
      <c r="M12" s="8" t="s">
        <v>854</v>
      </c>
    </row>
    <row r="13" spans="1:103" x14ac:dyDescent="0.3">
      <c r="A13" t="s">
        <v>257</v>
      </c>
      <c r="B13">
        <f>IF(A13="","",_xlfn.XLOOKUP(A13,Tab_base[Nom + Prénom],Tab_base[Puce], ""))</f>
        <v>205574</v>
      </c>
      <c r="C13" t="str">
        <f>IF(A13="","",_xlfn.XLOOKUP(A13,Tab_base[Nom + Prénom],Tab_base[Court],""))</f>
        <v>H10</v>
      </c>
      <c r="G13" s="1"/>
      <c r="H13" s="8"/>
      <c r="I13" t="s">
        <v>860</v>
      </c>
      <c r="K13" s="5">
        <v>7.5057870370370372E-2</v>
      </c>
      <c r="L13" s="1" t="s">
        <v>560</v>
      </c>
      <c r="M13" s="8" t="s">
        <v>859</v>
      </c>
    </row>
    <row r="14" spans="1:103" x14ac:dyDescent="0.3">
      <c r="A14" t="s">
        <v>269</v>
      </c>
      <c r="B14">
        <f>IF(A14="","",_xlfn.XLOOKUP(A14,Tab_base[Nom + Prénom],Tab_base[Puce], ""))</f>
        <v>1890301</v>
      </c>
      <c r="C14" t="str">
        <f>IF(A14="","",_xlfn.XLOOKUP(A14,Tab_base[Nom + Prénom],Tab_base[Court],""))</f>
        <v>D55</v>
      </c>
      <c r="G14" s="1"/>
      <c r="H14" s="8"/>
      <c r="I14" t="s">
        <v>104</v>
      </c>
      <c r="K14" s="5" t="s">
        <v>148</v>
      </c>
      <c r="L14" s="1"/>
      <c r="M14" s="8"/>
      <c r="S14" t="s">
        <v>549</v>
      </c>
      <c r="U14" s="5">
        <v>5.8379629629629635E-2</v>
      </c>
      <c r="V14" s="8" t="s">
        <v>867</v>
      </c>
      <c r="W14" s="8" t="s">
        <v>868</v>
      </c>
    </row>
    <row r="15" spans="1:103" x14ac:dyDescent="0.3">
      <c r="A15" t="s">
        <v>272</v>
      </c>
      <c r="B15">
        <f>IF(A15="","",_xlfn.XLOOKUP(A15,Tab_base[Nom + Prénom],Tab_base[Puce], ""))</f>
        <v>8890305</v>
      </c>
      <c r="C15" t="str">
        <f>IF(A15="","",_xlfn.XLOOKUP(A15,Tab_base[Nom + Prénom],Tab_base[Court],""))</f>
        <v>H55</v>
      </c>
      <c r="D15" t="s">
        <v>814</v>
      </c>
      <c r="F15" s="5">
        <v>5.1296296296296291E-2</v>
      </c>
      <c r="G15" s="1" t="s">
        <v>823</v>
      </c>
      <c r="H15" s="8" t="s">
        <v>820</v>
      </c>
      <c r="I15" t="s">
        <v>95</v>
      </c>
      <c r="K15" s="5">
        <v>6.4444444444444443E-2</v>
      </c>
      <c r="L15" s="1" t="s">
        <v>832</v>
      </c>
      <c r="M15" s="8" t="s">
        <v>835</v>
      </c>
      <c r="S15" t="s">
        <v>78</v>
      </c>
      <c r="U15" s="5">
        <v>7.9768518518518516E-2</v>
      </c>
      <c r="V15" s="8" t="s">
        <v>878</v>
      </c>
      <c r="W15" s="8" t="s">
        <v>880</v>
      </c>
    </row>
    <row r="16" spans="1:103" x14ac:dyDescent="0.3">
      <c r="A16" t="s">
        <v>282</v>
      </c>
      <c r="B16">
        <f>IF(A16="","",_xlfn.XLOOKUP(A16,Tab_base[Nom + Prénom],Tab_base[Puce], ""))</f>
        <v>8527790</v>
      </c>
      <c r="C16" t="str">
        <f>IF(A16="","",_xlfn.XLOOKUP(A16,Tab_base[Nom + Prénom],Tab_base[Court],""))</f>
        <v>H50</v>
      </c>
      <c r="G16" s="1"/>
      <c r="H16" s="8"/>
      <c r="I16" t="s">
        <v>97</v>
      </c>
      <c r="K16" s="5">
        <v>5.0393518518518511E-2</v>
      </c>
      <c r="L16" s="1" t="s">
        <v>836</v>
      </c>
      <c r="M16" s="8" t="s">
        <v>837</v>
      </c>
      <c r="N16" t="s">
        <v>78</v>
      </c>
      <c r="P16" s="5">
        <v>4.9675925925925929E-2</v>
      </c>
      <c r="Q16" s="8" t="s">
        <v>864</v>
      </c>
      <c r="R16" s="8" t="s">
        <v>865</v>
      </c>
    </row>
    <row r="17" spans="1:103" x14ac:dyDescent="0.3">
      <c r="A17" t="s">
        <v>284</v>
      </c>
      <c r="B17">
        <f>IF(A17="","",_xlfn.XLOOKUP(A17,Tab_base[Nom + Prénom],Tab_base[Puce], ""))</f>
        <v>8542857</v>
      </c>
      <c r="C17" t="str">
        <f>IF(A17="","",_xlfn.XLOOKUP(A17,Tab_base[Nom + Prénom],Tab_base[Court],""))</f>
        <v>H14</v>
      </c>
      <c r="G17" s="1"/>
      <c r="H17" s="8"/>
      <c r="I17" t="s">
        <v>104</v>
      </c>
      <c r="K17" s="5">
        <v>5.5625000000000001E-2</v>
      </c>
      <c r="L17" s="1" t="s">
        <v>848</v>
      </c>
      <c r="M17" s="8" t="s">
        <v>849</v>
      </c>
      <c r="N17" t="s">
        <v>104</v>
      </c>
      <c r="P17" s="5">
        <v>2.929398148148148E-2</v>
      </c>
      <c r="Q17" s="8" t="s">
        <v>863</v>
      </c>
      <c r="R17" s="8" t="s">
        <v>576</v>
      </c>
    </row>
    <row r="18" spans="1:103" x14ac:dyDescent="0.3">
      <c r="A18" t="s">
        <v>305</v>
      </c>
      <c r="B18">
        <f>IF(A18="","",_xlfn.XLOOKUP(A18,Tab_base[Nom + Prénom],Tab_base[Puce], ""))</f>
        <v>8890304</v>
      </c>
      <c r="C18" t="str">
        <f>IF(A18="","",_xlfn.XLOOKUP(A18,Tab_base[Nom + Prénom],Tab_base[Court],""))</f>
        <v>D55</v>
      </c>
      <c r="D18" t="s">
        <v>814</v>
      </c>
      <c r="F18" s="5">
        <v>4.9560185185185186E-2</v>
      </c>
      <c r="G18" t="s">
        <v>824</v>
      </c>
      <c r="H18" s="7" t="s">
        <v>816</v>
      </c>
      <c r="I18" t="s">
        <v>97</v>
      </c>
      <c r="K18" s="5">
        <v>8.7592592592592597E-2</v>
      </c>
      <c r="L18" s="1" t="s">
        <v>847</v>
      </c>
      <c r="M18" s="8" t="s">
        <v>846</v>
      </c>
      <c r="S18" t="s">
        <v>613</v>
      </c>
      <c r="U18" s="5">
        <v>7.840277777777778E-2</v>
      </c>
      <c r="V18" s="8" t="s">
        <v>869</v>
      </c>
      <c r="W18" s="8" t="s">
        <v>870</v>
      </c>
    </row>
    <row r="19" spans="1:103" x14ac:dyDescent="0.3">
      <c r="A19" t="s">
        <v>311</v>
      </c>
      <c r="B19">
        <f>IF(A19="","",_xlfn.XLOOKUP(A19,Tab_base[Nom + Prénom],Tab_base[Puce], ""))</f>
        <v>8547726</v>
      </c>
      <c r="C19" t="str">
        <f>IF(A19="","",_xlfn.XLOOKUP(A19,Tab_base[Nom + Prénom],Tab_base[Court],""))</f>
        <v>H65</v>
      </c>
      <c r="I19" t="s">
        <v>97</v>
      </c>
      <c r="K19" s="5">
        <v>6.2627314814814816E-2</v>
      </c>
      <c r="L19" s="1" t="s">
        <v>839</v>
      </c>
      <c r="M19" s="8" t="s">
        <v>838</v>
      </c>
    </row>
    <row r="20" spans="1:103" x14ac:dyDescent="0.3">
      <c r="A20" t="s">
        <v>317</v>
      </c>
      <c r="B20">
        <f>IF(A20="","",_xlfn.XLOOKUP(A20,Tab_base[Nom + Prénom],Tab_base[Puce], ""))</f>
        <v>8890301</v>
      </c>
      <c r="C20" t="str">
        <f>IF(A20="","",_xlfn.XLOOKUP(A20,Tab_base[Nom + Prénom],Tab_base[Court],""))</f>
        <v>D21</v>
      </c>
      <c r="I20" t="s">
        <v>95</v>
      </c>
      <c r="K20" s="5">
        <v>8.6562500000000001E-2</v>
      </c>
      <c r="L20" s="1" t="s">
        <v>829</v>
      </c>
      <c r="M20" s="8" t="s">
        <v>830</v>
      </c>
    </row>
    <row r="21" spans="1:103" x14ac:dyDescent="0.3">
      <c r="A21" t="s">
        <v>319</v>
      </c>
      <c r="B21">
        <f>IF(A21="","",_xlfn.XLOOKUP(A21,Tab_base[Nom + Prénom],Tab_base[Puce], ""))</f>
        <v>8280173</v>
      </c>
      <c r="C21" t="str">
        <f>IF(A21="","",_xlfn.XLOOKUP(A21,Tab_base[Nom + Prénom],Tab_base[Court],""))</f>
        <v>H50</v>
      </c>
      <c r="D21" t="s">
        <v>814</v>
      </c>
      <c r="F21" s="5">
        <v>4.3263888888888886E-2</v>
      </c>
      <c r="G21" s="1" t="s">
        <v>822</v>
      </c>
      <c r="H21" s="8" t="s">
        <v>817</v>
      </c>
    </row>
    <row r="22" spans="1:103" x14ac:dyDescent="0.3">
      <c r="A22" t="s">
        <v>326</v>
      </c>
      <c r="B22">
        <f>IF(A22="","",_xlfn.XLOOKUP(A22,Tab_base[Nom + Prénom],Tab_base[Puce], ""))</f>
        <v>1890307</v>
      </c>
      <c r="C22" t="str">
        <f>IF(A22="","",_xlfn.XLOOKUP(A22,Tab_base[Nom + Prénom],Tab_base[Court],""))</f>
        <v>D65</v>
      </c>
      <c r="G22" s="1"/>
      <c r="H22" s="8"/>
      <c r="I22" t="s">
        <v>104</v>
      </c>
      <c r="K22" s="5">
        <v>7.8518518518518529E-2</v>
      </c>
      <c r="L22" s="1" t="s">
        <v>850</v>
      </c>
      <c r="M22" s="8" t="s">
        <v>851</v>
      </c>
    </row>
    <row r="23" spans="1:103" x14ac:dyDescent="0.3">
      <c r="A23" t="s">
        <v>328</v>
      </c>
      <c r="B23">
        <f>IF(A23="","",_xlfn.XLOOKUP(A23,Tab_base[Nom + Prénom],Tab_base[Puce], ""))</f>
        <v>8005961</v>
      </c>
      <c r="C23" t="str">
        <f>IF(A23="","",_xlfn.XLOOKUP(A23,Tab_base[Nom + Prénom],Tab_base[Court],""))</f>
        <v>H65</v>
      </c>
      <c r="D23" t="s">
        <v>815</v>
      </c>
      <c r="F23" s="5">
        <v>0.10006944444444445</v>
      </c>
      <c r="G23" s="1" t="s">
        <v>825</v>
      </c>
      <c r="H23" s="8" t="s">
        <v>826</v>
      </c>
      <c r="U23" s="5">
        <v>8.5289351851851838E-2</v>
      </c>
      <c r="V23" s="8" t="s">
        <v>789</v>
      </c>
      <c r="W23" s="8" t="s">
        <v>882</v>
      </c>
    </row>
    <row r="24" spans="1:103" x14ac:dyDescent="0.3">
      <c r="A24" t="s">
        <v>343</v>
      </c>
      <c r="B24">
        <f>IF(A24="","",_xlfn.XLOOKUP(A24,Tab_base[Nom + Prénom],Tab_base[Puce], ""))</f>
        <v>8546861</v>
      </c>
      <c r="C24" t="str">
        <f>IF(A24="","",_xlfn.XLOOKUP(A24,Tab_base[Nom + Prénom],Tab_base[Court],""))</f>
        <v>D50</v>
      </c>
      <c r="I24" t="s">
        <v>97</v>
      </c>
      <c r="K24" s="5">
        <v>6.957175925925925E-2</v>
      </c>
      <c r="L24" s="1" t="s">
        <v>843</v>
      </c>
      <c r="M24" s="8" t="s">
        <v>842</v>
      </c>
    </row>
    <row r="25" spans="1:103" s="138" customFormat="1" x14ac:dyDescent="0.3">
      <c r="A25" s="139" t="s">
        <v>689</v>
      </c>
      <c r="B25" s="139" t="str">
        <f>IF(A25="","",_xlfn.XLOOKUP(A25,Tab_base[Nom + Prénom],Tab_base[Puce], ""))</f>
        <v>.</v>
      </c>
      <c r="C25" s="139" t="str">
        <f>IF(A25="","",_xlfn.XLOOKUP(A25,Tab_base[Nom + Prénom],Tab_base[Court],""))</f>
        <v>.</v>
      </c>
      <c r="D25" s="139">
        <f>IF(COUNTIF(D$3:D24, "&lt;&gt;")=0, "", COUNTIF(D$3:D24, "&lt;&gt;"))</f>
        <v>5</v>
      </c>
      <c r="E25" s="139"/>
      <c r="F25" s="139"/>
      <c r="G25" s="139"/>
      <c r="H25" s="139"/>
      <c r="I25" s="139">
        <f>IF(COUNTIF(I$3:I24, "&lt;&gt;")=0, "", COUNTIF(I$3:I24, "&lt;&gt;"))</f>
        <v>17</v>
      </c>
      <c r="J25" s="139"/>
      <c r="K25" s="139"/>
      <c r="L25" s="139"/>
      <c r="M25" s="139"/>
      <c r="N25" s="139">
        <f>IF(COUNTIF(N$3:N24, "&lt;&gt;")=0, "", COUNTIF(N$3:N24, "&lt;&gt;"))</f>
        <v>2</v>
      </c>
      <c r="O25" s="139"/>
      <c r="P25" s="139"/>
      <c r="Q25" s="139"/>
      <c r="R25" s="139"/>
      <c r="S25" s="139">
        <f>IF(COUNTIF(S$3:S24, "&lt;&gt;")=0, "", COUNTIF(S$3:S24, "&lt;&gt;"))</f>
        <v>7</v>
      </c>
      <c r="T25" s="139"/>
      <c r="U25" s="139"/>
      <c r="V25" s="139"/>
      <c r="W25" s="139"/>
      <c r="X25" s="139" t="str">
        <f>IF(COUNTIF(X$3:X24, "&lt;&gt;")=0, "", COUNTIF(X$3:X24, "&lt;&gt;"))</f>
        <v/>
      </c>
      <c r="Y25" s="139"/>
      <c r="Z25" s="139"/>
      <c r="AA25" s="139"/>
      <c r="AB25" s="139"/>
      <c r="AC25" s="139" t="str">
        <f>IF(COUNTIF(AC$3:AC24, "&lt;&gt;")=0, "", COUNTIF(AC$3:AC24, "&lt;&gt;"))</f>
        <v/>
      </c>
      <c r="AD25" s="139"/>
      <c r="AE25" s="139"/>
      <c r="AF25" s="139"/>
      <c r="AG25" s="139"/>
      <c r="AH25" s="139" t="str">
        <f>IF(COUNTIF(AH$3:AH24, "&lt;&gt;")=0, "", COUNTIF(AH$3:AH24, "&lt;&gt;"))</f>
        <v/>
      </c>
      <c r="AI25" s="139"/>
      <c r="AJ25" s="139"/>
      <c r="AK25" s="139"/>
      <c r="AL25" s="139"/>
      <c r="AM25" s="139" t="str">
        <f>IF(COUNTIF(AM$3:AM24, "&lt;&gt;")=0, "", COUNTIF(AM$3:AM24, "&lt;&gt;"))</f>
        <v/>
      </c>
      <c r="AN25" s="139"/>
      <c r="AO25" s="139"/>
      <c r="AP25" s="139"/>
      <c r="AQ25" s="139"/>
      <c r="AR25" s="139" t="str">
        <f>IF(COUNTIF(AR$3:AR24, "&lt;&gt;")=0, "", COUNTIF(AR$3:AR24, "&lt;&gt;"))</f>
        <v/>
      </c>
      <c r="AS25" s="139"/>
      <c r="AT25" s="139"/>
      <c r="AU25" s="139"/>
      <c r="AV25" s="139"/>
      <c r="AW25" s="139" t="str">
        <f>IF(COUNTIF(AW$3:AW24, "&lt;&gt;")=0, "", COUNTIF(AW$3:AW24, "&lt;&gt;"))</f>
        <v/>
      </c>
      <c r="AX25" s="139"/>
      <c r="AY25" s="139"/>
      <c r="AZ25" s="139"/>
      <c r="BA25" s="139"/>
      <c r="BB25" s="139" t="str">
        <f>IF(COUNTIF(BB$3:BB24, "&lt;&gt;")=0, "", COUNTIF(BB$3:BB24, "&lt;&gt;"))</f>
        <v/>
      </c>
      <c r="BC25" s="139"/>
      <c r="BD25" s="139"/>
      <c r="BE25" s="139"/>
      <c r="BF25" s="139"/>
      <c r="BG25" s="139" t="str">
        <f>IF(COUNTIF(BG$3:BG24, "&lt;&gt;")=0, "", COUNTIF(BG$3:BG24, "&lt;&gt;"))</f>
        <v/>
      </c>
      <c r="BH25" s="139"/>
      <c r="BI25" s="139"/>
      <c r="BJ25" s="139"/>
      <c r="BK25" s="139"/>
      <c r="BL25" s="139" t="str">
        <f>IF(COUNTIF(BL$3:BL24, "&lt;&gt;")=0, "", COUNTIF(BL$3:BL24, "&lt;&gt;"))</f>
        <v/>
      </c>
      <c r="BM25" s="139"/>
      <c r="BN25" s="139"/>
      <c r="BO25" s="139"/>
      <c r="BP25" s="139"/>
      <c r="BQ25" s="139" t="str">
        <f>IF(COUNTIF(BQ$3:BQ24, "&lt;&gt;")=0, "", COUNTIF(BQ$3:BQ24, "&lt;&gt;"))</f>
        <v/>
      </c>
      <c r="BR25" s="139"/>
      <c r="BS25" s="139"/>
      <c r="BT25" s="139"/>
      <c r="BU25" s="139"/>
      <c r="BV25" s="139" t="str">
        <f>IF(COUNTIF(BV$3:BV24, "&lt;&gt;")=0, "", COUNTIF(BV$3:BV24, "&lt;&gt;"))</f>
        <v/>
      </c>
      <c r="BW25" s="139"/>
      <c r="BX25" s="139"/>
      <c r="BY25" s="139"/>
      <c r="BZ25" s="139"/>
      <c r="CA25" s="139" t="str">
        <f>IF(COUNTIF(CA$3:CA24, "&lt;&gt;")=0, "", COUNTIF(CA$3:CA24, "&lt;&gt;"))</f>
        <v/>
      </c>
      <c r="CB25" s="139"/>
      <c r="CC25" s="139"/>
      <c r="CD25" s="139"/>
      <c r="CE25" s="139"/>
      <c r="CF25" s="139" t="str">
        <f>IF(COUNTIF(CF$3:CF24, "&lt;&gt;")=0, "", COUNTIF(CF$3:CF24, "&lt;&gt;"))</f>
        <v/>
      </c>
      <c r="CG25" s="139"/>
      <c r="CH25" s="139"/>
      <c r="CI25" s="139"/>
      <c r="CJ25" s="139"/>
      <c r="CK25" s="139" t="str">
        <f>IF(COUNTIF(CK$3:CK24, "&lt;&gt;")=0, "", COUNTIF(CK$3:CK24, "&lt;&gt;"))</f>
        <v/>
      </c>
      <c r="CL25" s="139"/>
      <c r="CM25" s="139"/>
      <c r="CN25" s="139"/>
      <c r="CO25" s="139"/>
      <c r="CP25" s="139" t="str">
        <f>IF(COUNTIF(CP$3:CP24, "&lt;&gt;")=0, "", COUNTIF(CP$3:CP24, "&lt;&gt;"))</f>
        <v/>
      </c>
      <c r="CQ25" s="139"/>
      <c r="CR25" s="139"/>
      <c r="CS25" s="139"/>
      <c r="CT25" s="139"/>
      <c r="CU25" s="139" t="str">
        <f>IF(COUNTIF(CU$3:CU24, "&lt;&gt;")=0, "", COUNTIF(CU$3:CU24, "&lt;&gt;"))</f>
        <v/>
      </c>
      <c r="CV25" s="139"/>
      <c r="CW25" s="139"/>
      <c r="CX25" s="139"/>
      <c r="CY25" s="139"/>
    </row>
    <row r="26" spans="1:103" x14ac:dyDescent="0.3">
      <c r="B26" t="str">
        <f>IF(A26="","",_xlfn.XLOOKUP(A26,Tab_base[Nom + Prénom],Tab_base[Puce], ""))</f>
        <v/>
      </c>
      <c r="C26" t="str">
        <f>IF(A26="","",_xlfn.XLOOKUP(A26,Tab_base[Nom + Prénom],Tab_base[Court],""))</f>
        <v/>
      </c>
    </row>
    <row r="27" spans="1:103" ht="13.2" customHeight="1" x14ac:dyDescent="0.3">
      <c r="B27" t="str">
        <f>IF(A27="","",_xlfn.XLOOKUP(A27,Tab_base[Nom + Prénom],Tab_base[Puce], ""))</f>
        <v/>
      </c>
      <c r="C27" t="str">
        <f>IF(A27="","",_xlfn.XLOOKUP(A27,Tab_base[Nom + Prénom],Tab_base[Court],""))</f>
        <v/>
      </c>
    </row>
    <row r="34" spans="60:79" x14ac:dyDescent="0.3">
      <c r="BW34"/>
      <c r="BX34" s="3"/>
      <c r="BY34" s="5"/>
      <c r="BZ34"/>
      <c r="CA34" s="7"/>
    </row>
    <row r="38" spans="60:79" x14ac:dyDescent="0.3">
      <c r="BH38"/>
      <c r="BI38"/>
      <c r="BK38"/>
      <c r="BM38"/>
      <c r="BN38"/>
      <c r="BP38"/>
      <c r="BR38"/>
      <c r="BS38"/>
      <c r="BU38"/>
      <c r="BW38"/>
      <c r="BX38"/>
      <c r="BZ38"/>
    </row>
    <row r="44" spans="60:79" x14ac:dyDescent="0.3">
      <c r="BW44"/>
      <c r="BX44"/>
      <c r="BZ44"/>
    </row>
    <row r="45" spans="60:79" x14ac:dyDescent="0.3">
      <c r="BW45"/>
      <c r="BX45"/>
      <c r="BZ45"/>
    </row>
    <row r="46" spans="60:79" x14ac:dyDescent="0.3">
      <c r="BW46"/>
      <c r="BX46"/>
      <c r="BZ46"/>
    </row>
    <row r="47" spans="60:79" x14ac:dyDescent="0.3">
      <c r="BW47"/>
      <c r="BX47"/>
      <c r="BZ47"/>
    </row>
    <row r="48" spans="60:79" x14ac:dyDescent="0.3">
      <c r="BW48"/>
      <c r="BX48"/>
      <c r="BZ48"/>
    </row>
    <row r="49" spans="75:78" x14ac:dyDescent="0.3">
      <c r="BW49"/>
      <c r="BX49"/>
      <c r="BZ49"/>
    </row>
    <row r="50" spans="75:78" x14ac:dyDescent="0.3">
      <c r="BW50"/>
      <c r="BX50"/>
      <c r="BZ50"/>
    </row>
    <row r="51" spans="75:78" x14ac:dyDescent="0.3">
      <c r="BW51"/>
      <c r="BX51"/>
      <c r="BZ51"/>
    </row>
    <row r="55" spans="75:78" x14ac:dyDescent="0.3">
      <c r="BW55"/>
    </row>
  </sheetData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4BE4D8-2EC5-489A-BE6F-707C92F4A337}">
          <x14:formula1>
            <xm:f>base!$Y$2:$Y$93</xm:f>
          </x14:formula1>
          <xm:sqref>A1:A1048576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0E86F-C190-4E4E-B550-C497FAC1674A}">
  <sheetPr codeName="Feuil4"/>
  <dimension ref="A1:BZ94"/>
  <sheetViews>
    <sheetView topLeftCell="E1" zoomScaleNormal="100" workbookViewId="0">
      <selection activeCell="I94" sqref="I94"/>
    </sheetView>
  </sheetViews>
  <sheetFormatPr baseColWidth="10" defaultColWidth="9.109375" defaultRowHeight="14.4" x14ac:dyDescent="0.3"/>
  <cols>
    <col min="1" max="1" width="5.21875" bestFit="1" customWidth="1"/>
    <col min="2" max="2" width="7.33203125" bestFit="1" customWidth="1"/>
    <col min="3" max="3" width="9.21875" bestFit="1" customWidth="1"/>
    <col min="4" max="4" width="7.33203125" bestFit="1" customWidth="1"/>
    <col min="5" max="5" width="9.21875" style="3" bestFit="1" customWidth="1"/>
    <col min="6" max="6" width="4.5546875" style="5" bestFit="1" customWidth="1"/>
    <col min="7" max="7" width="9.44140625" bestFit="1" customWidth="1"/>
    <col min="8" max="8" width="7.33203125" style="7" bestFit="1" customWidth="1"/>
    <col min="9" max="9" width="17" bestFit="1" customWidth="1"/>
    <col min="10" max="10" width="11.21875" style="3" bestFit="1" customWidth="1"/>
    <col min="11" max="11" width="5.5546875" style="5" bestFit="1" customWidth="1"/>
    <col min="12" max="12" width="4.21875" bestFit="1" customWidth="1"/>
    <col min="13" max="13" width="8.77734375" style="7" bestFit="1" customWidth="1"/>
    <col min="14" max="14" width="7.88671875" bestFit="1" customWidth="1"/>
    <col min="15" max="15" width="7.88671875" style="3" bestFit="1" customWidth="1"/>
    <col min="16" max="16" width="8.33203125" style="5" bestFit="1" customWidth="1"/>
    <col min="17" max="17" width="7.77734375" bestFit="1" customWidth="1"/>
    <col min="18" max="18" width="8.21875" style="7" bestFit="1" customWidth="1"/>
    <col min="19" max="19" width="8" bestFit="1" customWidth="1"/>
    <col min="20" max="20" width="8.21875" style="3" bestFit="1" customWidth="1"/>
    <col min="21" max="21" width="6.44140625" style="5" bestFit="1" customWidth="1"/>
    <col min="22" max="22" width="9.88671875" bestFit="1" customWidth="1"/>
    <col min="23" max="23" width="10.109375" style="7" bestFit="1" customWidth="1"/>
    <col min="24" max="24" width="17.88671875" bestFit="1" customWidth="1"/>
    <col min="25" max="25" width="20.77734375" style="3" bestFit="1" customWidth="1"/>
    <col min="26" max="26" width="8.21875" style="5" bestFit="1" customWidth="1"/>
    <col min="27" max="27" width="8.5546875" bestFit="1" customWidth="1"/>
    <col min="28" max="28" width="6.44140625" style="7" bestFit="1" customWidth="1"/>
    <col min="29" max="29" width="8.109375" bestFit="1" customWidth="1"/>
    <col min="30" max="30" width="9.88671875" style="3" bestFit="1" customWidth="1"/>
    <col min="31" max="31" width="11.21875" style="5" bestFit="1" customWidth="1"/>
    <col min="32" max="32" width="4.5546875" bestFit="1" customWidth="1"/>
    <col min="33" max="33" width="5.21875" style="7" bestFit="1" customWidth="1"/>
    <col min="34" max="34" width="26.88671875" bestFit="1" customWidth="1"/>
    <col min="35" max="35" width="6.109375" style="3" bestFit="1" customWidth="1"/>
    <col min="36" max="36" width="6" style="5" bestFit="1" customWidth="1"/>
    <col min="37" max="37" width="4.5546875" bestFit="1" customWidth="1"/>
    <col min="38" max="38" width="5.21875" style="7" bestFit="1" customWidth="1"/>
    <col min="39" max="39" width="24.44140625" bestFit="1" customWidth="1"/>
    <col min="40" max="40" width="6.109375" style="3" bestFit="1" customWidth="1"/>
    <col min="41" max="41" width="6" style="5" bestFit="1" customWidth="1"/>
    <col min="42" max="42" width="4.5546875" bestFit="1" customWidth="1"/>
    <col min="43" max="43" width="5.21875" style="7" bestFit="1" customWidth="1"/>
    <col min="44" max="44" width="38.21875" bestFit="1" customWidth="1"/>
    <col min="45" max="45" width="6.109375" style="3" bestFit="1" customWidth="1"/>
    <col min="46" max="46" width="6" style="5" bestFit="1" customWidth="1"/>
    <col min="47" max="47" width="4.5546875" bestFit="1" customWidth="1"/>
    <col min="48" max="48" width="5.21875" style="7" bestFit="1" customWidth="1"/>
    <col min="49" max="49" width="29.88671875" bestFit="1" customWidth="1"/>
    <col min="50" max="50" width="7.109375" style="3" bestFit="1" customWidth="1"/>
    <col min="51" max="51" width="7" style="5" bestFit="1" customWidth="1"/>
    <col min="52" max="52" width="5.5546875" bestFit="1" customWidth="1"/>
    <col min="53" max="53" width="5.21875" style="7" bestFit="1" customWidth="1"/>
    <col min="54" max="54" width="35.6640625" bestFit="1" customWidth="1"/>
    <col min="55" max="55" width="7.109375" style="3" bestFit="1" customWidth="1"/>
    <col min="56" max="56" width="7" style="5" bestFit="1" customWidth="1"/>
    <col min="57" max="57" width="5.5546875" bestFit="1" customWidth="1"/>
    <col min="58" max="58" width="5.21875" style="7" bestFit="1" customWidth="1"/>
    <col min="59" max="59" width="28" bestFit="1" customWidth="1"/>
    <col min="60" max="60" width="7.109375" style="3" bestFit="1" customWidth="1"/>
    <col min="61" max="61" width="6.44140625" style="5" bestFit="1" customWidth="1"/>
    <col min="62" max="62" width="5.5546875" bestFit="1" customWidth="1"/>
    <col min="63" max="63" width="5.21875" style="7" bestFit="1" customWidth="1"/>
    <col min="64" max="64" width="24.44140625" bestFit="1" customWidth="1"/>
    <col min="65" max="65" width="7.109375" style="3" bestFit="1" customWidth="1"/>
    <col min="66" max="66" width="7" style="5" bestFit="1" customWidth="1"/>
    <col min="67" max="67" width="5.5546875" bestFit="1" customWidth="1"/>
    <col min="68" max="68" width="5.21875" style="7" bestFit="1" customWidth="1"/>
    <col min="69" max="69" width="24.33203125" bestFit="1" customWidth="1"/>
    <col min="70" max="70" width="7.109375" style="3" bestFit="1" customWidth="1"/>
    <col min="71" max="71" width="7" style="5" bestFit="1" customWidth="1"/>
    <col min="72" max="72" width="5.5546875" bestFit="1" customWidth="1"/>
    <col min="73" max="73" width="5.21875" style="7" bestFit="1" customWidth="1"/>
    <col min="74" max="74" width="7.21875" bestFit="1" customWidth="1"/>
    <col min="75" max="75" width="7.109375" style="3" bestFit="1" customWidth="1"/>
    <col min="76" max="76" width="7" style="5" bestFit="1" customWidth="1"/>
    <col min="77" max="77" width="5.5546875" bestFit="1" customWidth="1"/>
    <col min="78" max="78" width="5.21875" style="7" bestFit="1" customWidth="1"/>
  </cols>
  <sheetData>
    <row r="1" spans="1:42" x14ac:dyDescent="0.3">
      <c r="A1" s="24" t="s">
        <v>453</v>
      </c>
      <c r="B1" s="24" t="s">
        <v>454</v>
      </c>
      <c r="C1" s="24" t="s">
        <v>455</v>
      </c>
      <c r="D1" s="24" t="s">
        <v>3</v>
      </c>
      <c r="E1" s="25" t="s">
        <v>456</v>
      </c>
      <c r="F1" s="26" t="s">
        <v>457</v>
      </c>
      <c r="G1" s="24" t="s">
        <v>458</v>
      </c>
      <c r="H1" s="27" t="s">
        <v>459</v>
      </c>
      <c r="I1" s="24" t="s">
        <v>481</v>
      </c>
      <c r="J1" s="25" t="s">
        <v>460</v>
      </c>
      <c r="K1" s="26" t="s">
        <v>461</v>
      </c>
      <c r="L1" s="24" t="s">
        <v>462</v>
      </c>
      <c r="M1" s="27" t="s">
        <v>463</v>
      </c>
      <c r="N1" s="24" t="s">
        <v>464</v>
      </c>
      <c r="O1" s="25" t="s">
        <v>465</v>
      </c>
      <c r="P1" s="26" t="s">
        <v>466</v>
      </c>
      <c r="Q1" s="24" t="s">
        <v>467</v>
      </c>
      <c r="R1" s="27" t="s">
        <v>468</v>
      </c>
      <c r="S1" s="24" t="s">
        <v>469</v>
      </c>
      <c r="T1" s="25" t="s">
        <v>470</v>
      </c>
      <c r="U1" s="26" t="s">
        <v>471</v>
      </c>
      <c r="V1" s="24" t="s">
        <v>472</v>
      </c>
      <c r="W1" s="27" t="s">
        <v>473</v>
      </c>
      <c r="X1" s="25" t="s">
        <v>474</v>
      </c>
      <c r="Y1" s="25" t="s">
        <v>475</v>
      </c>
      <c r="Z1" s="25" t="s">
        <v>476</v>
      </c>
      <c r="AA1" s="25" t="s">
        <v>477</v>
      </c>
      <c r="AB1" s="25" t="s">
        <v>478</v>
      </c>
      <c r="AC1" s="25" t="s">
        <v>479</v>
      </c>
      <c r="AD1" s="25" t="s">
        <v>480</v>
      </c>
      <c r="AE1" s="25" t="s">
        <v>482</v>
      </c>
      <c r="AF1" s="3"/>
      <c r="AG1" s="3"/>
      <c r="AH1" s="3"/>
    </row>
    <row r="2" spans="1:42" x14ac:dyDescent="0.3">
      <c r="A2" s="12">
        <v>8903</v>
      </c>
      <c r="B2" s="10">
        <v>50</v>
      </c>
      <c r="C2" s="11">
        <v>8903</v>
      </c>
      <c r="D2" s="12" t="s">
        <v>207</v>
      </c>
      <c r="E2" s="12" t="s">
        <v>208</v>
      </c>
      <c r="F2" s="11" t="s">
        <v>209</v>
      </c>
      <c r="G2" s="13">
        <v>14780</v>
      </c>
      <c r="H2" s="12">
        <v>8018903</v>
      </c>
      <c r="I2" s="14" t="s">
        <v>210</v>
      </c>
      <c r="J2" s="12" t="s">
        <v>211</v>
      </c>
      <c r="K2" s="12">
        <v>1968</v>
      </c>
      <c r="L2" s="11" t="s">
        <v>163</v>
      </c>
      <c r="M2" s="12">
        <v>55</v>
      </c>
      <c r="N2" s="12" t="s">
        <v>147</v>
      </c>
      <c r="O2" s="12"/>
      <c r="P2" s="15"/>
      <c r="Q2" s="10"/>
      <c r="R2" s="10"/>
      <c r="S2" s="10">
        <v>130</v>
      </c>
      <c r="T2" s="10">
        <v>4433</v>
      </c>
      <c r="U2" s="12">
        <v>58</v>
      </c>
      <c r="V2" s="12" t="s">
        <v>77</v>
      </c>
      <c r="W2" s="12"/>
      <c r="X2" s="12" t="s">
        <v>212</v>
      </c>
      <c r="Y2" s="12" t="s">
        <v>213</v>
      </c>
      <c r="Z2" s="12">
        <v>48</v>
      </c>
      <c r="AA2" s="12">
        <v>1</v>
      </c>
      <c r="AB2" s="12">
        <v>1</v>
      </c>
      <c r="AC2" s="12">
        <v>0</v>
      </c>
      <c r="AD2" s="12"/>
      <c r="AE2" s="22"/>
    </row>
    <row r="3" spans="1:42" x14ac:dyDescent="0.3">
      <c r="A3" s="18"/>
      <c r="B3" s="16"/>
      <c r="C3" s="17">
        <v>8903</v>
      </c>
      <c r="D3" s="18" t="s">
        <v>207</v>
      </c>
      <c r="E3" s="18" t="s">
        <v>208</v>
      </c>
      <c r="F3" s="17" t="s">
        <v>209</v>
      </c>
      <c r="G3" s="19">
        <v>12177</v>
      </c>
      <c r="H3" s="18">
        <v>8050858</v>
      </c>
      <c r="I3" s="20" t="s">
        <v>214</v>
      </c>
      <c r="J3" s="18" t="s">
        <v>215</v>
      </c>
      <c r="K3" s="18">
        <v>1958</v>
      </c>
      <c r="L3" s="17" t="s">
        <v>163</v>
      </c>
      <c r="M3" s="18">
        <v>65</v>
      </c>
      <c r="N3" s="18" t="s">
        <v>72</v>
      </c>
      <c r="O3" s="18">
        <v>2549</v>
      </c>
      <c r="P3" s="21">
        <v>3021</v>
      </c>
      <c r="Q3" s="16">
        <v>1397</v>
      </c>
      <c r="R3" s="16">
        <v>3523</v>
      </c>
      <c r="S3" s="16">
        <v>274</v>
      </c>
      <c r="T3" s="16">
        <v>3456</v>
      </c>
      <c r="U3" s="18">
        <v>68</v>
      </c>
      <c r="V3" s="18" t="s">
        <v>216</v>
      </c>
      <c r="W3" s="18"/>
      <c r="X3" s="18" t="s">
        <v>212</v>
      </c>
      <c r="Y3" s="18" t="s">
        <v>217</v>
      </c>
      <c r="Z3" s="18"/>
      <c r="AA3" s="18"/>
      <c r="AB3" s="18"/>
      <c r="AC3" s="18"/>
      <c r="AD3" s="18">
        <v>12177</v>
      </c>
      <c r="AE3" s="23"/>
    </row>
    <row r="4" spans="1:42" x14ac:dyDescent="0.3">
      <c r="A4" s="12"/>
      <c r="B4" s="10"/>
      <c r="C4" s="11">
        <v>8903</v>
      </c>
      <c r="D4" s="12" t="s">
        <v>207</v>
      </c>
      <c r="E4" s="12" t="s">
        <v>208</v>
      </c>
      <c r="F4" s="11" t="s">
        <v>209</v>
      </c>
      <c r="G4" s="13">
        <v>46184</v>
      </c>
      <c r="H4" s="12">
        <v>2158059</v>
      </c>
      <c r="I4" s="14" t="s">
        <v>218</v>
      </c>
      <c r="J4" s="12" t="s">
        <v>219</v>
      </c>
      <c r="K4" s="12">
        <v>1983</v>
      </c>
      <c r="L4" s="11" t="s">
        <v>71</v>
      </c>
      <c r="M4" s="12">
        <v>140</v>
      </c>
      <c r="N4" s="12" t="s">
        <v>154</v>
      </c>
      <c r="O4" s="12">
        <v>1595</v>
      </c>
      <c r="P4" s="15">
        <v>3851</v>
      </c>
      <c r="Q4" s="10"/>
      <c r="R4" s="10"/>
      <c r="S4" s="10"/>
      <c r="T4" s="10"/>
      <c r="U4" s="12">
        <v>43</v>
      </c>
      <c r="V4" s="12" t="s">
        <v>154</v>
      </c>
      <c r="W4" s="12"/>
      <c r="X4" s="12" t="s">
        <v>212</v>
      </c>
      <c r="Y4" s="12" t="s">
        <v>220</v>
      </c>
      <c r="Z4" s="12"/>
      <c r="AA4" s="12"/>
      <c r="AB4" s="12"/>
      <c r="AC4" s="12"/>
      <c r="AD4" s="12">
        <v>46184</v>
      </c>
      <c r="AE4" s="22"/>
    </row>
    <row r="5" spans="1:42" x14ac:dyDescent="0.3">
      <c r="A5" s="18"/>
      <c r="B5" s="16"/>
      <c r="C5" s="17">
        <v>8903</v>
      </c>
      <c r="D5" s="18" t="s">
        <v>207</v>
      </c>
      <c r="E5" s="18" t="s">
        <v>208</v>
      </c>
      <c r="F5" s="17" t="s">
        <v>209</v>
      </c>
      <c r="G5" s="19">
        <v>46028</v>
      </c>
      <c r="H5" s="18">
        <v>8581786</v>
      </c>
      <c r="I5" s="20" t="s">
        <v>221</v>
      </c>
      <c r="J5" s="18" t="s">
        <v>222</v>
      </c>
      <c r="K5" s="18">
        <v>1999</v>
      </c>
      <c r="L5" s="17" t="s">
        <v>163</v>
      </c>
      <c r="M5" s="18">
        <v>21</v>
      </c>
      <c r="N5" s="18" t="s">
        <v>89</v>
      </c>
      <c r="O5" s="18">
        <v>760</v>
      </c>
      <c r="P5" s="21">
        <v>4812</v>
      </c>
      <c r="Q5" s="16">
        <v>181</v>
      </c>
      <c r="R5" s="16">
        <v>5603</v>
      </c>
      <c r="S5" s="16">
        <v>126</v>
      </c>
      <c r="T5" s="16">
        <v>4447</v>
      </c>
      <c r="U5" s="18">
        <v>27</v>
      </c>
      <c r="V5" s="18" t="s">
        <v>89</v>
      </c>
      <c r="W5" s="18"/>
      <c r="X5" s="18" t="s">
        <v>212</v>
      </c>
      <c r="Y5" s="18" t="s">
        <v>223</v>
      </c>
      <c r="Z5" s="18"/>
      <c r="AA5" s="18"/>
      <c r="AB5" s="18"/>
      <c r="AC5" s="18"/>
      <c r="AD5" s="18">
        <v>46028</v>
      </c>
      <c r="AE5" s="23"/>
    </row>
    <row r="6" spans="1:42" x14ac:dyDescent="0.3">
      <c r="A6" s="12"/>
      <c r="B6" s="10"/>
      <c r="C6" s="11">
        <v>8903</v>
      </c>
      <c r="D6" s="12" t="s">
        <v>207</v>
      </c>
      <c r="E6" s="12" t="s">
        <v>208</v>
      </c>
      <c r="F6" s="11" t="s">
        <v>209</v>
      </c>
      <c r="G6" s="13">
        <v>42599</v>
      </c>
      <c r="H6" s="12">
        <v>8500492</v>
      </c>
      <c r="I6" s="14" t="s">
        <v>224</v>
      </c>
      <c r="J6" s="12" t="s">
        <v>225</v>
      </c>
      <c r="K6" s="12">
        <v>2008</v>
      </c>
      <c r="L6" s="11" t="s">
        <v>163</v>
      </c>
      <c r="M6" s="12">
        <v>18</v>
      </c>
      <c r="N6" s="12" t="s">
        <v>226</v>
      </c>
      <c r="O6" s="12"/>
      <c r="P6" s="15"/>
      <c r="Q6" s="10"/>
      <c r="R6" s="10"/>
      <c r="S6" s="10">
        <v>43</v>
      </c>
      <c r="T6" s="10">
        <v>5533</v>
      </c>
      <c r="U6" s="12">
        <v>18</v>
      </c>
      <c r="V6" s="12" t="s">
        <v>227</v>
      </c>
      <c r="W6" s="12"/>
      <c r="X6" s="12" t="s">
        <v>212</v>
      </c>
      <c r="Y6" s="12" t="s">
        <v>228</v>
      </c>
      <c r="Z6" s="12"/>
      <c r="AA6" s="12"/>
      <c r="AB6" s="12"/>
      <c r="AC6" s="12"/>
      <c r="AD6" s="12"/>
      <c r="AE6" s="22"/>
    </row>
    <row r="7" spans="1:42" x14ac:dyDescent="0.3">
      <c r="A7" s="18"/>
      <c r="B7" s="16"/>
      <c r="C7" s="17">
        <v>8903</v>
      </c>
      <c r="D7" s="18" t="s">
        <v>207</v>
      </c>
      <c r="E7" s="18" t="s">
        <v>208</v>
      </c>
      <c r="F7" s="17" t="s">
        <v>209</v>
      </c>
      <c r="G7" s="19">
        <v>42598</v>
      </c>
      <c r="H7" s="18">
        <v>8500434</v>
      </c>
      <c r="I7" s="20" t="s">
        <v>224</v>
      </c>
      <c r="J7" s="18" t="s">
        <v>229</v>
      </c>
      <c r="K7" s="18">
        <v>1979</v>
      </c>
      <c r="L7" s="17" t="s">
        <v>163</v>
      </c>
      <c r="M7" s="18">
        <v>45</v>
      </c>
      <c r="N7" s="18" t="s">
        <v>230</v>
      </c>
      <c r="O7" s="18">
        <v>2833</v>
      </c>
      <c r="P7" s="21">
        <v>2767</v>
      </c>
      <c r="Q7" s="16"/>
      <c r="R7" s="16"/>
      <c r="S7" s="16">
        <v>237</v>
      </c>
      <c r="T7" s="16">
        <v>3688</v>
      </c>
      <c r="U7" s="18">
        <v>47</v>
      </c>
      <c r="V7" s="18" t="s">
        <v>138</v>
      </c>
      <c r="W7" s="18"/>
      <c r="X7" s="18" t="s">
        <v>212</v>
      </c>
      <c r="Y7" s="18" t="s">
        <v>231</v>
      </c>
      <c r="Z7" s="18"/>
      <c r="AA7" s="18"/>
      <c r="AB7" s="18"/>
      <c r="AC7" s="18"/>
      <c r="AD7" s="18">
        <v>42598</v>
      </c>
      <c r="AE7" s="23"/>
    </row>
    <row r="8" spans="1:42" x14ac:dyDescent="0.3">
      <c r="A8" s="12"/>
      <c r="B8" s="10"/>
      <c r="C8" s="11">
        <v>8903</v>
      </c>
      <c r="D8" s="12" t="s">
        <v>207</v>
      </c>
      <c r="E8" s="12" t="s">
        <v>208</v>
      </c>
      <c r="F8" s="11" t="s">
        <v>209</v>
      </c>
      <c r="G8" s="13">
        <v>39186</v>
      </c>
      <c r="H8" s="12">
        <v>8161718</v>
      </c>
      <c r="I8" s="14" t="s">
        <v>232</v>
      </c>
      <c r="J8" s="12" t="s">
        <v>233</v>
      </c>
      <c r="K8" s="12">
        <v>2006</v>
      </c>
      <c r="L8" s="11" t="s">
        <v>71</v>
      </c>
      <c r="M8" s="12">
        <v>120</v>
      </c>
      <c r="N8" s="12" t="s">
        <v>94</v>
      </c>
      <c r="O8" s="12">
        <v>3085</v>
      </c>
      <c r="P8" s="15">
        <v>2543</v>
      </c>
      <c r="Q8" s="10">
        <v>1388</v>
      </c>
      <c r="R8" s="10">
        <v>3539</v>
      </c>
      <c r="S8" s="10"/>
      <c r="T8" s="10"/>
      <c r="U8" s="12">
        <v>20</v>
      </c>
      <c r="V8" s="12" t="s">
        <v>94</v>
      </c>
      <c r="W8" s="12"/>
      <c r="X8" s="12" t="s">
        <v>212</v>
      </c>
      <c r="Y8" s="12" t="s">
        <v>234</v>
      </c>
      <c r="Z8" s="12"/>
      <c r="AA8" s="12"/>
      <c r="AB8" s="12"/>
      <c r="AC8" s="12"/>
      <c r="AD8" s="12">
        <v>39186</v>
      </c>
      <c r="AE8" s="22"/>
    </row>
    <row r="9" spans="1:42" x14ac:dyDescent="0.3">
      <c r="A9" s="18"/>
      <c r="B9" s="16"/>
      <c r="C9" s="17">
        <v>8903</v>
      </c>
      <c r="D9" s="18" t="s">
        <v>207</v>
      </c>
      <c r="E9" s="18" t="s">
        <v>208</v>
      </c>
      <c r="F9" s="17" t="s">
        <v>209</v>
      </c>
      <c r="G9" s="19">
        <v>39185</v>
      </c>
      <c r="H9" s="18">
        <v>8171016</v>
      </c>
      <c r="I9" s="20" t="s">
        <v>232</v>
      </c>
      <c r="J9" s="18" t="s">
        <v>235</v>
      </c>
      <c r="K9" s="18">
        <v>2006</v>
      </c>
      <c r="L9" s="17" t="s">
        <v>71</v>
      </c>
      <c r="M9" s="18">
        <v>120</v>
      </c>
      <c r="N9" s="18" t="s">
        <v>94</v>
      </c>
      <c r="O9" s="18">
        <v>1624</v>
      </c>
      <c r="P9" s="21">
        <v>3828</v>
      </c>
      <c r="Q9" s="16">
        <v>772</v>
      </c>
      <c r="R9" s="16">
        <v>4383</v>
      </c>
      <c r="S9" s="16"/>
      <c r="T9" s="16"/>
      <c r="U9" s="18">
        <v>20</v>
      </c>
      <c r="V9" s="18" t="s">
        <v>94</v>
      </c>
      <c r="W9" s="18"/>
      <c r="X9" s="18" t="s">
        <v>212</v>
      </c>
      <c r="Y9" s="18" t="s">
        <v>236</v>
      </c>
      <c r="Z9" s="18"/>
      <c r="AA9" s="18"/>
      <c r="AB9" s="18"/>
      <c r="AC9" s="18"/>
      <c r="AD9" s="18">
        <v>39185</v>
      </c>
      <c r="AE9" s="23"/>
    </row>
    <row r="10" spans="1:42" x14ac:dyDescent="0.3">
      <c r="A10" s="12"/>
      <c r="B10" s="10"/>
      <c r="C10" s="11">
        <v>8903</v>
      </c>
      <c r="D10" s="12" t="s">
        <v>207</v>
      </c>
      <c r="E10" s="12" t="s">
        <v>208</v>
      </c>
      <c r="F10" s="11" t="s">
        <v>209</v>
      </c>
      <c r="G10" s="13">
        <v>46787</v>
      </c>
      <c r="H10" s="12">
        <v>8534679</v>
      </c>
      <c r="I10" s="14" t="s">
        <v>237</v>
      </c>
      <c r="J10" s="12" t="s">
        <v>238</v>
      </c>
      <c r="K10" s="12">
        <v>2012</v>
      </c>
      <c r="L10" s="11" t="s">
        <v>163</v>
      </c>
      <c r="M10" s="12">
        <v>14</v>
      </c>
      <c r="N10" s="12" t="s">
        <v>67</v>
      </c>
      <c r="O10" s="12">
        <v>4143</v>
      </c>
      <c r="P10" s="15">
        <v>1284</v>
      </c>
      <c r="Q10" s="10">
        <v>2336</v>
      </c>
      <c r="R10" s="10">
        <v>1892</v>
      </c>
      <c r="S10" s="10"/>
      <c r="T10" s="10"/>
      <c r="U10" s="12">
        <v>14</v>
      </c>
      <c r="V10" s="12" t="s">
        <v>67</v>
      </c>
      <c r="W10" s="12"/>
      <c r="X10" s="12" t="s">
        <v>212</v>
      </c>
      <c r="Y10" s="12" t="s">
        <v>239</v>
      </c>
      <c r="Z10" s="12"/>
      <c r="AA10" s="12"/>
      <c r="AB10" s="12"/>
      <c r="AC10" s="12"/>
      <c r="AD10" s="12">
        <v>46787</v>
      </c>
      <c r="AE10" s="22"/>
      <c r="AP10" s="6"/>
    </row>
    <row r="11" spans="1:42" x14ac:dyDescent="0.3">
      <c r="A11" s="18"/>
      <c r="B11" s="16"/>
      <c r="C11" s="17">
        <v>8903</v>
      </c>
      <c r="D11" s="18" t="s">
        <v>207</v>
      </c>
      <c r="E11" s="18" t="s">
        <v>208</v>
      </c>
      <c r="F11" s="17" t="s">
        <v>209</v>
      </c>
      <c r="G11" s="19">
        <v>48036</v>
      </c>
      <c r="H11" s="18">
        <v>8534692</v>
      </c>
      <c r="I11" s="20" t="s">
        <v>237</v>
      </c>
      <c r="J11" s="18" t="s">
        <v>240</v>
      </c>
      <c r="K11" s="18">
        <v>1985</v>
      </c>
      <c r="L11" s="17" t="s">
        <v>163</v>
      </c>
      <c r="M11" s="18">
        <v>40</v>
      </c>
      <c r="N11" s="18" t="s">
        <v>138</v>
      </c>
      <c r="O11" s="18">
        <v>2667</v>
      </c>
      <c r="P11" s="21">
        <v>2915</v>
      </c>
      <c r="Q11" s="16">
        <v>1411</v>
      </c>
      <c r="R11" s="16">
        <v>3512</v>
      </c>
      <c r="S11" s="16"/>
      <c r="T11" s="16"/>
      <c r="U11" s="18">
        <v>41</v>
      </c>
      <c r="V11" s="18" t="s">
        <v>138</v>
      </c>
      <c r="W11" s="18"/>
      <c r="X11" s="18" t="s">
        <v>212</v>
      </c>
      <c r="Y11" s="18" t="s">
        <v>241</v>
      </c>
      <c r="Z11" s="18"/>
      <c r="AA11" s="18"/>
      <c r="AB11" s="18"/>
      <c r="AC11" s="18"/>
      <c r="AD11" s="18">
        <v>48036</v>
      </c>
      <c r="AE11" s="23"/>
      <c r="AF11" s="6"/>
      <c r="AK11" s="6"/>
    </row>
    <row r="12" spans="1:42" x14ac:dyDescent="0.3">
      <c r="A12" s="12"/>
      <c r="B12" s="10"/>
      <c r="C12" s="11">
        <v>8903</v>
      </c>
      <c r="D12" s="12" t="s">
        <v>207</v>
      </c>
      <c r="E12" s="12" t="s">
        <v>208</v>
      </c>
      <c r="F12" s="11" t="s">
        <v>209</v>
      </c>
      <c r="G12" s="13">
        <v>49693</v>
      </c>
      <c r="H12" s="12">
        <v>2158061</v>
      </c>
      <c r="I12" s="14" t="s">
        <v>237</v>
      </c>
      <c r="J12" s="12" t="s">
        <v>242</v>
      </c>
      <c r="K12" s="12">
        <v>2016</v>
      </c>
      <c r="L12" s="11" t="s">
        <v>71</v>
      </c>
      <c r="M12" s="12">
        <v>110</v>
      </c>
      <c r="N12" s="12" t="s">
        <v>143</v>
      </c>
      <c r="O12" s="12"/>
      <c r="P12" s="15"/>
      <c r="Q12" s="10"/>
      <c r="R12" s="10"/>
      <c r="S12" s="10"/>
      <c r="T12" s="10"/>
      <c r="U12" s="12">
        <v>10</v>
      </c>
      <c r="V12" s="12" t="s">
        <v>143</v>
      </c>
      <c r="W12" s="12"/>
      <c r="X12" s="12" t="s">
        <v>212</v>
      </c>
      <c r="Y12" s="12" t="s">
        <v>243</v>
      </c>
      <c r="Z12" s="12"/>
      <c r="AA12" s="12"/>
      <c r="AB12" s="12"/>
      <c r="AC12" s="12"/>
      <c r="AD12" s="12"/>
      <c r="AE12" s="22"/>
      <c r="AK12" s="4"/>
    </row>
    <row r="13" spans="1:42" x14ac:dyDescent="0.3">
      <c r="A13" s="18"/>
      <c r="B13" s="16"/>
      <c r="C13" s="17">
        <v>8903</v>
      </c>
      <c r="D13" s="18" t="s">
        <v>207</v>
      </c>
      <c r="E13" s="18" t="s">
        <v>208</v>
      </c>
      <c r="F13" s="17" t="s">
        <v>209</v>
      </c>
      <c r="G13" s="19">
        <v>8761</v>
      </c>
      <c r="H13" s="18">
        <v>8545607</v>
      </c>
      <c r="I13" s="20" t="s">
        <v>244</v>
      </c>
      <c r="J13" s="18" t="s">
        <v>245</v>
      </c>
      <c r="K13" s="18">
        <v>1952</v>
      </c>
      <c r="L13" s="17" t="s">
        <v>71</v>
      </c>
      <c r="M13" s="18">
        <v>170</v>
      </c>
      <c r="N13" s="18" t="s">
        <v>96</v>
      </c>
      <c r="O13" s="18">
        <v>3441</v>
      </c>
      <c r="P13" s="21">
        <v>2164</v>
      </c>
      <c r="Q13" s="16"/>
      <c r="R13" s="16"/>
      <c r="S13" s="16"/>
      <c r="T13" s="16"/>
      <c r="U13" s="18">
        <v>74</v>
      </c>
      <c r="V13" s="18" t="s">
        <v>96</v>
      </c>
      <c r="W13" s="18"/>
      <c r="X13" s="18" t="s">
        <v>212</v>
      </c>
      <c r="Y13" s="18" t="s">
        <v>246</v>
      </c>
      <c r="Z13" s="18"/>
      <c r="AA13" s="18"/>
      <c r="AB13" s="18"/>
      <c r="AC13" s="18"/>
      <c r="AD13" s="18">
        <v>8761</v>
      </c>
      <c r="AE13" s="23"/>
      <c r="AF13" s="6"/>
    </row>
    <row r="14" spans="1:42" x14ac:dyDescent="0.3">
      <c r="A14" s="12"/>
      <c r="B14" s="10"/>
      <c r="C14" s="11">
        <v>8903</v>
      </c>
      <c r="D14" s="12" t="s">
        <v>207</v>
      </c>
      <c r="E14" s="12" t="s">
        <v>208</v>
      </c>
      <c r="F14" s="11" t="s">
        <v>209</v>
      </c>
      <c r="G14" s="13">
        <v>47814</v>
      </c>
      <c r="H14" s="12">
        <v>2158057</v>
      </c>
      <c r="I14" s="14" t="s">
        <v>247</v>
      </c>
      <c r="J14" s="12" t="s">
        <v>248</v>
      </c>
      <c r="K14" s="12">
        <v>2006</v>
      </c>
      <c r="L14" s="11" t="s">
        <v>71</v>
      </c>
      <c r="M14" s="12">
        <v>120</v>
      </c>
      <c r="N14" s="12" t="s">
        <v>94</v>
      </c>
      <c r="O14" s="12"/>
      <c r="P14" s="15"/>
      <c r="Q14" s="10"/>
      <c r="R14" s="10"/>
      <c r="S14" s="10"/>
      <c r="T14" s="10"/>
      <c r="U14" s="12">
        <v>20</v>
      </c>
      <c r="V14" s="12" t="s">
        <v>94</v>
      </c>
      <c r="W14" s="12"/>
      <c r="X14" s="12" t="s">
        <v>212</v>
      </c>
      <c r="Y14" s="12" t="s">
        <v>249</v>
      </c>
      <c r="Z14" s="12"/>
      <c r="AA14" s="12"/>
      <c r="AB14" s="12"/>
      <c r="AC14" s="12"/>
      <c r="AD14" s="12"/>
      <c r="AE14" s="22"/>
      <c r="AF14" s="6"/>
    </row>
    <row r="15" spans="1:42" x14ac:dyDescent="0.3">
      <c r="A15" s="18"/>
      <c r="B15" s="16"/>
      <c r="C15" s="17">
        <v>8903</v>
      </c>
      <c r="D15" s="18" t="s">
        <v>207</v>
      </c>
      <c r="E15" s="18" t="s">
        <v>208</v>
      </c>
      <c r="F15" s="17" t="s">
        <v>209</v>
      </c>
      <c r="G15" s="19">
        <v>47815</v>
      </c>
      <c r="H15" s="18">
        <v>1010421</v>
      </c>
      <c r="I15" s="20" t="s">
        <v>247</v>
      </c>
      <c r="J15" s="18" t="s">
        <v>250</v>
      </c>
      <c r="K15" s="18">
        <v>2008</v>
      </c>
      <c r="L15" s="17" t="s">
        <v>71</v>
      </c>
      <c r="M15" s="18">
        <v>118</v>
      </c>
      <c r="N15" s="18" t="s">
        <v>251</v>
      </c>
      <c r="O15" s="18">
        <v>3014</v>
      </c>
      <c r="P15" s="21">
        <v>2612</v>
      </c>
      <c r="Q15" s="16"/>
      <c r="R15" s="16"/>
      <c r="S15" s="16"/>
      <c r="T15" s="16"/>
      <c r="U15" s="18">
        <v>18</v>
      </c>
      <c r="V15" s="18" t="s">
        <v>252</v>
      </c>
      <c r="W15" s="18"/>
      <c r="X15" s="18" t="s">
        <v>212</v>
      </c>
      <c r="Y15" s="18" t="s">
        <v>253</v>
      </c>
      <c r="Z15" s="18"/>
      <c r="AA15" s="18"/>
      <c r="AB15" s="18"/>
      <c r="AC15" s="18"/>
      <c r="AD15" s="18">
        <v>47815</v>
      </c>
      <c r="AE15" s="23"/>
    </row>
    <row r="16" spans="1:42" x14ac:dyDescent="0.3">
      <c r="A16" s="12"/>
      <c r="B16" s="10"/>
      <c r="C16" s="11">
        <v>8903</v>
      </c>
      <c r="D16" s="12" t="s">
        <v>207</v>
      </c>
      <c r="E16" s="12" t="s">
        <v>208</v>
      </c>
      <c r="F16" s="11" t="s">
        <v>209</v>
      </c>
      <c r="G16" s="13">
        <v>46475</v>
      </c>
      <c r="H16" s="12">
        <v>205574</v>
      </c>
      <c r="I16" s="14" t="s">
        <v>254</v>
      </c>
      <c r="J16" s="12" t="s">
        <v>255</v>
      </c>
      <c r="K16" s="12">
        <v>2019</v>
      </c>
      <c r="L16" s="11" t="s">
        <v>163</v>
      </c>
      <c r="M16" s="12">
        <v>10</v>
      </c>
      <c r="N16" s="12" t="s">
        <v>256</v>
      </c>
      <c r="O16" s="12"/>
      <c r="P16" s="15"/>
      <c r="Q16" s="10"/>
      <c r="R16" s="10"/>
      <c r="S16" s="10"/>
      <c r="T16" s="10"/>
      <c r="U16" s="12">
        <v>7</v>
      </c>
      <c r="V16" s="12" t="s">
        <v>256</v>
      </c>
      <c r="W16" s="12"/>
      <c r="X16" s="12" t="s">
        <v>212</v>
      </c>
      <c r="Y16" s="12" t="s">
        <v>257</v>
      </c>
      <c r="Z16" s="12"/>
      <c r="AA16" s="12"/>
      <c r="AB16" s="12"/>
      <c r="AC16" s="12"/>
      <c r="AD16" s="12"/>
      <c r="AE16" s="22"/>
    </row>
    <row r="17" spans="1:31" x14ac:dyDescent="0.3">
      <c r="A17" s="18"/>
      <c r="B17" s="16"/>
      <c r="C17" s="17">
        <v>8903</v>
      </c>
      <c r="D17" s="18" t="s">
        <v>207</v>
      </c>
      <c r="E17" s="18" t="s">
        <v>208</v>
      </c>
      <c r="F17" s="17" t="s">
        <v>209</v>
      </c>
      <c r="G17" s="19">
        <v>49683</v>
      </c>
      <c r="H17" s="18">
        <v>2027602</v>
      </c>
      <c r="I17" s="20" t="s">
        <v>254</v>
      </c>
      <c r="J17" s="18" t="s">
        <v>258</v>
      </c>
      <c r="K17" s="18">
        <v>2022</v>
      </c>
      <c r="L17" s="17" t="s">
        <v>71</v>
      </c>
      <c r="M17" s="18">
        <v>110</v>
      </c>
      <c r="N17" s="18" t="s">
        <v>143</v>
      </c>
      <c r="O17" s="18"/>
      <c r="P17" s="21"/>
      <c r="Q17" s="16"/>
      <c r="R17" s="16"/>
      <c r="S17" s="16"/>
      <c r="T17" s="16"/>
      <c r="U17" s="18">
        <v>4</v>
      </c>
      <c r="V17" s="18" t="s">
        <v>143</v>
      </c>
      <c r="W17" s="18"/>
      <c r="X17" s="18" t="s">
        <v>212</v>
      </c>
      <c r="Y17" s="18" t="s">
        <v>259</v>
      </c>
      <c r="Z17" s="18"/>
      <c r="AA17" s="18"/>
      <c r="AB17" s="18"/>
      <c r="AC17" s="18"/>
      <c r="AD17" s="18"/>
      <c r="AE17" s="23"/>
    </row>
    <row r="18" spans="1:31" x14ac:dyDescent="0.3">
      <c r="A18" s="12"/>
      <c r="B18" s="10"/>
      <c r="C18" s="11">
        <v>8903</v>
      </c>
      <c r="D18" s="12" t="s">
        <v>207</v>
      </c>
      <c r="E18" s="12" t="s">
        <v>208</v>
      </c>
      <c r="F18" s="11" t="s">
        <v>209</v>
      </c>
      <c r="G18" s="13">
        <v>13649</v>
      </c>
      <c r="H18" s="12">
        <v>8310889</v>
      </c>
      <c r="I18" s="14" t="s">
        <v>254</v>
      </c>
      <c r="J18" s="12" t="s">
        <v>260</v>
      </c>
      <c r="K18" s="12">
        <v>1989</v>
      </c>
      <c r="L18" s="11" t="s">
        <v>71</v>
      </c>
      <c r="M18" s="12">
        <v>135</v>
      </c>
      <c r="N18" s="12" t="s">
        <v>261</v>
      </c>
      <c r="O18" s="12">
        <v>2152</v>
      </c>
      <c r="P18" s="15">
        <v>3384</v>
      </c>
      <c r="Q18" s="10">
        <v>1443</v>
      </c>
      <c r="R18" s="10">
        <v>3475</v>
      </c>
      <c r="S18" s="10"/>
      <c r="T18" s="10"/>
      <c r="U18" s="12">
        <v>37</v>
      </c>
      <c r="V18" s="12" t="s">
        <v>75</v>
      </c>
      <c r="W18" s="12"/>
      <c r="X18" s="12" t="s">
        <v>212</v>
      </c>
      <c r="Y18" s="12" t="s">
        <v>262</v>
      </c>
      <c r="Z18" s="12"/>
      <c r="AA18" s="12"/>
      <c r="AB18" s="12"/>
      <c r="AC18" s="12"/>
      <c r="AD18" s="12">
        <v>13649</v>
      </c>
      <c r="AE18" s="22"/>
    </row>
    <row r="19" spans="1:31" x14ac:dyDescent="0.3">
      <c r="A19" s="18"/>
      <c r="B19" s="16"/>
      <c r="C19" s="17">
        <v>8903</v>
      </c>
      <c r="D19" s="18" t="s">
        <v>207</v>
      </c>
      <c r="E19" s="18" t="s">
        <v>208</v>
      </c>
      <c r="F19" s="17" t="s">
        <v>209</v>
      </c>
      <c r="G19" s="19">
        <v>32504</v>
      </c>
      <c r="H19" s="18">
        <v>8021989</v>
      </c>
      <c r="I19" s="20" t="s">
        <v>254</v>
      </c>
      <c r="J19" s="18" t="s">
        <v>263</v>
      </c>
      <c r="K19" s="18">
        <v>1989</v>
      </c>
      <c r="L19" s="17" t="s">
        <v>163</v>
      </c>
      <c r="M19" s="18">
        <v>35</v>
      </c>
      <c r="N19" s="18" t="s">
        <v>264</v>
      </c>
      <c r="O19" s="18"/>
      <c r="P19" s="21"/>
      <c r="Q19" s="16"/>
      <c r="R19" s="16"/>
      <c r="S19" s="16"/>
      <c r="T19" s="16"/>
      <c r="U19" s="18">
        <v>37</v>
      </c>
      <c r="V19" s="18" t="s">
        <v>89</v>
      </c>
      <c r="W19" s="18"/>
      <c r="X19" s="18" t="s">
        <v>212</v>
      </c>
      <c r="Y19" s="18" t="s">
        <v>265</v>
      </c>
      <c r="Z19" s="18"/>
      <c r="AA19" s="18"/>
      <c r="AB19" s="18"/>
      <c r="AC19" s="18"/>
      <c r="AD19" s="18"/>
      <c r="AE19" s="23"/>
    </row>
    <row r="20" spans="1:31" x14ac:dyDescent="0.3">
      <c r="A20" s="12"/>
      <c r="B20" s="10"/>
      <c r="C20" s="11">
        <v>8903</v>
      </c>
      <c r="D20" s="12" t="s">
        <v>207</v>
      </c>
      <c r="E20" s="12" t="s">
        <v>208</v>
      </c>
      <c r="F20" s="11" t="s">
        <v>209</v>
      </c>
      <c r="G20" s="13">
        <v>44909</v>
      </c>
      <c r="H20" s="12">
        <v>1890301</v>
      </c>
      <c r="I20" s="14" t="s">
        <v>266</v>
      </c>
      <c r="J20" s="12" t="s">
        <v>267</v>
      </c>
      <c r="K20" s="12">
        <v>1969</v>
      </c>
      <c r="L20" s="11" t="s">
        <v>71</v>
      </c>
      <c r="M20" s="12">
        <v>155</v>
      </c>
      <c r="N20" s="12" t="s">
        <v>268</v>
      </c>
      <c r="O20" s="12">
        <v>3967</v>
      </c>
      <c r="P20" s="15">
        <v>1546</v>
      </c>
      <c r="Q20" s="10">
        <v>1959</v>
      </c>
      <c r="R20" s="10">
        <v>2758</v>
      </c>
      <c r="S20" s="10">
        <v>456</v>
      </c>
      <c r="T20" s="10">
        <v>2022</v>
      </c>
      <c r="U20" s="12">
        <v>57</v>
      </c>
      <c r="V20" s="12" t="s">
        <v>121</v>
      </c>
      <c r="W20" s="12"/>
      <c r="X20" s="12" t="s">
        <v>212</v>
      </c>
      <c r="Y20" s="12" t="s">
        <v>269</v>
      </c>
      <c r="Z20" s="12"/>
      <c r="AA20" s="12"/>
      <c r="AB20" s="12"/>
      <c r="AC20" s="12"/>
      <c r="AD20" s="12">
        <v>44909</v>
      </c>
      <c r="AE20" s="22"/>
    </row>
    <row r="21" spans="1:31" x14ac:dyDescent="0.3">
      <c r="A21" s="18"/>
      <c r="B21" s="16"/>
      <c r="C21" s="17">
        <v>8903</v>
      </c>
      <c r="D21" s="18" t="s">
        <v>207</v>
      </c>
      <c r="E21" s="18" t="s">
        <v>208</v>
      </c>
      <c r="F21" s="17" t="s">
        <v>209</v>
      </c>
      <c r="G21" s="19">
        <v>20044</v>
      </c>
      <c r="H21" s="18">
        <v>8890305</v>
      </c>
      <c r="I21" s="20" t="s">
        <v>270</v>
      </c>
      <c r="J21" s="18" t="s">
        <v>271</v>
      </c>
      <c r="K21" s="18">
        <v>1969</v>
      </c>
      <c r="L21" s="17" t="s">
        <v>163</v>
      </c>
      <c r="M21" s="18">
        <v>55</v>
      </c>
      <c r="N21" s="18" t="s">
        <v>147</v>
      </c>
      <c r="O21" s="18">
        <v>935</v>
      </c>
      <c r="P21" s="21">
        <v>4526</v>
      </c>
      <c r="Q21" s="16">
        <v>966</v>
      </c>
      <c r="R21" s="16">
        <v>4100</v>
      </c>
      <c r="S21" s="16">
        <v>227</v>
      </c>
      <c r="T21" s="16">
        <v>3768</v>
      </c>
      <c r="U21" s="18">
        <v>57</v>
      </c>
      <c r="V21" s="18" t="s">
        <v>77</v>
      </c>
      <c r="W21" s="18"/>
      <c r="X21" s="18" t="s">
        <v>212</v>
      </c>
      <c r="Y21" s="18" t="s">
        <v>272</v>
      </c>
      <c r="Z21" s="18"/>
      <c r="AA21" s="18"/>
      <c r="AB21" s="18"/>
      <c r="AC21" s="18"/>
      <c r="AD21" s="18">
        <v>20044</v>
      </c>
      <c r="AE21" s="23"/>
    </row>
    <row r="22" spans="1:31" x14ac:dyDescent="0.3">
      <c r="A22" s="12"/>
      <c r="B22" s="10"/>
      <c r="C22" s="11">
        <v>8903</v>
      </c>
      <c r="D22" s="12" t="s">
        <v>207</v>
      </c>
      <c r="E22" s="12" t="s">
        <v>208</v>
      </c>
      <c r="F22" s="11" t="s">
        <v>209</v>
      </c>
      <c r="G22" s="13">
        <v>47651</v>
      </c>
      <c r="H22" s="12">
        <v>2027613</v>
      </c>
      <c r="I22" s="14" t="s">
        <v>273</v>
      </c>
      <c r="J22" s="12" t="s">
        <v>274</v>
      </c>
      <c r="K22" s="12">
        <v>1988</v>
      </c>
      <c r="L22" s="11" t="s">
        <v>71</v>
      </c>
      <c r="M22" s="12">
        <v>135</v>
      </c>
      <c r="N22" s="12" t="s">
        <v>261</v>
      </c>
      <c r="O22" s="12"/>
      <c r="P22" s="15"/>
      <c r="Q22" s="10"/>
      <c r="R22" s="10"/>
      <c r="S22" s="10"/>
      <c r="T22" s="10"/>
      <c r="U22" s="12">
        <v>38</v>
      </c>
      <c r="V22" s="12" t="s">
        <v>75</v>
      </c>
      <c r="W22" s="12"/>
      <c r="X22" s="12" t="s">
        <v>212</v>
      </c>
      <c r="Y22" s="12" t="s">
        <v>275</v>
      </c>
      <c r="Z22" s="12"/>
      <c r="AA22" s="12"/>
      <c r="AB22" s="12"/>
      <c r="AC22" s="12"/>
      <c r="AD22" s="12"/>
      <c r="AE22" s="22"/>
    </row>
    <row r="23" spans="1:31" x14ac:dyDescent="0.3">
      <c r="A23" s="18"/>
      <c r="B23" s="16"/>
      <c r="C23" s="17">
        <v>8903</v>
      </c>
      <c r="D23" s="18" t="s">
        <v>207</v>
      </c>
      <c r="E23" s="18" t="s">
        <v>208</v>
      </c>
      <c r="F23" s="17" t="s">
        <v>209</v>
      </c>
      <c r="G23" s="19">
        <v>34797</v>
      </c>
      <c r="H23" s="18">
        <v>1890311</v>
      </c>
      <c r="I23" s="20" t="s">
        <v>273</v>
      </c>
      <c r="J23" s="18" t="s">
        <v>276</v>
      </c>
      <c r="K23" s="18">
        <v>1960</v>
      </c>
      <c r="L23" s="17" t="s">
        <v>163</v>
      </c>
      <c r="M23" s="18">
        <v>65</v>
      </c>
      <c r="N23" s="18" t="s">
        <v>72</v>
      </c>
      <c r="O23" s="18">
        <v>3484</v>
      </c>
      <c r="P23" s="21">
        <v>2126</v>
      </c>
      <c r="Q23" s="16"/>
      <c r="R23" s="16"/>
      <c r="S23" s="16"/>
      <c r="T23" s="16"/>
      <c r="U23" s="18">
        <v>66</v>
      </c>
      <c r="V23" s="18" t="s">
        <v>216</v>
      </c>
      <c r="W23" s="18"/>
      <c r="X23" s="18" t="s">
        <v>212</v>
      </c>
      <c r="Y23" s="18" t="s">
        <v>277</v>
      </c>
      <c r="Z23" s="18"/>
      <c r="AA23" s="18"/>
      <c r="AB23" s="18"/>
      <c r="AC23" s="18"/>
      <c r="AD23" s="18">
        <v>34797</v>
      </c>
      <c r="AE23" s="23"/>
    </row>
    <row r="24" spans="1:31" x14ac:dyDescent="0.3">
      <c r="A24" s="12"/>
      <c r="B24" s="10"/>
      <c r="C24" s="11">
        <v>8903</v>
      </c>
      <c r="D24" s="12" t="s">
        <v>207</v>
      </c>
      <c r="E24" s="12" t="s">
        <v>208</v>
      </c>
      <c r="F24" s="11" t="s">
        <v>209</v>
      </c>
      <c r="G24" s="13">
        <v>47650</v>
      </c>
      <c r="H24" s="12">
        <v>2027608</v>
      </c>
      <c r="I24" s="14" t="s">
        <v>273</v>
      </c>
      <c r="J24" s="12" t="s">
        <v>278</v>
      </c>
      <c r="K24" s="12">
        <v>1988</v>
      </c>
      <c r="L24" s="11" t="s">
        <v>163</v>
      </c>
      <c r="M24" s="12">
        <v>35</v>
      </c>
      <c r="N24" s="12" t="s">
        <v>264</v>
      </c>
      <c r="O24" s="12">
        <v>2033</v>
      </c>
      <c r="P24" s="15">
        <v>3476</v>
      </c>
      <c r="Q24" s="10"/>
      <c r="R24" s="10"/>
      <c r="S24" s="10"/>
      <c r="T24" s="10"/>
      <c r="U24" s="12">
        <v>38</v>
      </c>
      <c r="V24" s="12" t="s">
        <v>89</v>
      </c>
      <c r="W24" s="12"/>
      <c r="X24" s="12" t="s">
        <v>212</v>
      </c>
      <c r="Y24" s="12" t="s">
        <v>279</v>
      </c>
      <c r="Z24" s="12"/>
      <c r="AA24" s="12"/>
      <c r="AB24" s="12"/>
      <c r="AC24" s="12"/>
      <c r="AD24" s="12">
        <v>47650</v>
      </c>
      <c r="AE24" s="22"/>
    </row>
    <row r="25" spans="1:31" x14ac:dyDescent="0.3">
      <c r="A25" s="18"/>
      <c r="B25" s="16"/>
      <c r="C25" s="17">
        <v>8903</v>
      </c>
      <c r="D25" s="18" t="s">
        <v>207</v>
      </c>
      <c r="E25" s="18" t="s">
        <v>208</v>
      </c>
      <c r="F25" s="17" t="s">
        <v>209</v>
      </c>
      <c r="G25" s="19">
        <v>41608</v>
      </c>
      <c r="H25" s="18">
        <v>8527790</v>
      </c>
      <c r="I25" s="20" t="s">
        <v>280</v>
      </c>
      <c r="J25" s="18" t="s">
        <v>281</v>
      </c>
      <c r="K25" s="18">
        <v>1975</v>
      </c>
      <c r="L25" s="17" t="s">
        <v>163</v>
      </c>
      <c r="M25" s="18">
        <v>50</v>
      </c>
      <c r="N25" s="18" t="s">
        <v>77</v>
      </c>
      <c r="O25" s="18">
        <v>2073</v>
      </c>
      <c r="P25" s="21">
        <v>3445</v>
      </c>
      <c r="Q25" s="16"/>
      <c r="R25" s="16"/>
      <c r="S25" s="16">
        <v>257</v>
      </c>
      <c r="T25" s="16">
        <v>3552</v>
      </c>
      <c r="U25" s="18">
        <v>51</v>
      </c>
      <c r="V25" s="18" t="s">
        <v>77</v>
      </c>
      <c r="W25" s="18"/>
      <c r="X25" s="18" t="s">
        <v>212</v>
      </c>
      <c r="Y25" s="18" t="s">
        <v>282</v>
      </c>
      <c r="Z25" s="18"/>
      <c r="AA25" s="18"/>
      <c r="AB25" s="18"/>
      <c r="AC25" s="18"/>
      <c r="AD25" s="18">
        <v>41608</v>
      </c>
      <c r="AE25" s="23"/>
    </row>
    <row r="26" spans="1:31" x14ac:dyDescent="0.3">
      <c r="A26" s="12"/>
      <c r="B26" s="10"/>
      <c r="C26" s="11">
        <v>8903</v>
      </c>
      <c r="D26" s="12" t="s">
        <v>207</v>
      </c>
      <c r="E26" s="12" t="s">
        <v>208</v>
      </c>
      <c r="F26" s="11" t="s">
        <v>209</v>
      </c>
      <c r="G26" s="13">
        <v>46619</v>
      </c>
      <c r="H26" s="12">
        <v>8542857</v>
      </c>
      <c r="I26" s="14" t="s">
        <v>280</v>
      </c>
      <c r="J26" s="12" t="s">
        <v>283</v>
      </c>
      <c r="K26" s="12">
        <v>2012</v>
      </c>
      <c r="L26" s="11" t="s">
        <v>163</v>
      </c>
      <c r="M26" s="12">
        <v>14</v>
      </c>
      <c r="N26" s="12" t="s">
        <v>67</v>
      </c>
      <c r="O26" s="12">
        <v>3744</v>
      </c>
      <c r="P26" s="15">
        <v>1822</v>
      </c>
      <c r="Q26" s="10"/>
      <c r="R26" s="10"/>
      <c r="S26" s="10">
        <v>439</v>
      </c>
      <c r="T26" s="10">
        <v>2254</v>
      </c>
      <c r="U26" s="12">
        <v>14</v>
      </c>
      <c r="V26" s="12" t="s">
        <v>67</v>
      </c>
      <c r="W26" s="12"/>
      <c r="X26" s="12" t="s">
        <v>212</v>
      </c>
      <c r="Y26" s="12" t="s">
        <v>284</v>
      </c>
      <c r="Z26" s="12"/>
      <c r="AA26" s="12"/>
      <c r="AB26" s="12"/>
      <c r="AC26" s="12"/>
      <c r="AD26" s="12">
        <v>46619</v>
      </c>
      <c r="AE26" s="22"/>
    </row>
    <row r="27" spans="1:31" x14ac:dyDescent="0.3">
      <c r="A27" s="18"/>
      <c r="B27" s="16"/>
      <c r="C27" s="17">
        <v>8903</v>
      </c>
      <c r="D27" s="18" t="s">
        <v>207</v>
      </c>
      <c r="E27" s="18" t="s">
        <v>208</v>
      </c>
      <c r="F27" s="17" t="s">
        <v>209</v>
      </c>
      <c r="G27" s="19">
        <v>46598</v>
      </c>
      <c r="H27" s="18">
        <v>433311</v>
      </c>
      <c r="I27" s="20" t="s">
        <v>285</v>
      </c>
      <c r="J27" s="18" t="s">
        <v>286</v>
      </c>
      <c r="K27" s="18">
        <v>2011</v>
      </c>
      <c r="L27" s="17" t="s">
        <v>71</v>
      </c>
      <c r="M27" s="18">
        <v>116</v>
      </c>
      <c r="N27" s="18" t="s">
        <v>287</v>
      </c>
      <c r="O27" s="18">
        <v>4194</v>
      </c>
      <c r="P27" s="21">
        <v>1195</v>
      </c>
      <c r="Q27" s="16"/>
      <c r="R27" s="16"/>
      <c r="S27" s="16"/>
      <c r="T27" s="16"/>
      <c r="U27" s="18">
        <v>15</v>
      </c>
      <c r="V27" s="18" t="s">
        <v>252</v>
      </c>
      <c r="W27" s="18"/>
      <c r="X27" s="18" t="s">
        <v>212</v>
      </c>
      <c r="Y27" s="18" t="s">
        <v>288</v>
      </c>
      <c r="Z27" s="18"/>
      <c r="AA27" s="18"/>
      <c r="AB27" s="18"/>
      <c r="AC27" s="18"/>
      <c r="AD27" s="18">
        <v>46598</v>
      </c>
      <c r="AE27" s="23"/>
    </row>
    <row r="28" spans="1:31" x14ac:dyDescent="0.3">
      <c r="A28" s="12"/>
      <c r="B28" s="10"/>
      <c r="C28" s="11">
        <v>8903</v>
      </c>
      <c r="D28" s="12" t="s">
        <v>207</v>
      </c>
      <c r="E28" s="12" t="s">
        <v>208</v>
      </c>
      <c r="F28" s="11" t="s">
        <v>209</v>
      </c>
      <c r="G28" s="13">
        <v>46459</v>
      </c>
      <c r="H28" s="12">
        <v>2024050</v>
      </c>
      <c r="I28" s="14" t="s">
        <v>285</v>
      </c>
      <c r="J28" s="12" t="s">
        <v>289</v>
      </c>
      <c r="K28" s="12">
        <v>2017</v>
      </c>
      <c r="L28" s="11" t="s">
        <v>71</v>
      </c>
      <c r="M28" s="12">
        <v>110</v>
      </c>
      <c r="N28" s="12" t="s">
        <v>143</v>
      </c>
      <c r="O28" s="12"/>
      <c r="P28" s="15"/>
      <c r="Q28" s="10"/>
      <c r="R28" s="10"/>
      <c r="S28" s="10"/>
      <c r="T28" s="10"/>
      <c r="U28" s="12">
        <v>9</v>
      </c>
      <c r="V28" s="12" t="s">
        <v>143</v>
      </c>
      <c r="W28" s="12"/>
      <c r="X28" s="12" t="s">
        <v>212</v>
      </c>
      <c r="Y28" s="12" t="s">
        <v>290</v>
      </c>
      <c r="Z28" s="12"/>
      <c r="AA28" s="12"/>
      <c r="AB28" s="12"/>
      <c r="AC28" s="12"/>
      <c r="AD28" s="12"/>
      <c r="AE28" s="22"/>
    </row>
    <row r="29" spans="1:31" x14ac:dyDescent="0.3">
      <c r="A29" s="18"/>
      <c r="B29" s="16"/>
      <c r="C29" s="17">
        <v>8903</v>
      </c>
      <c r="D29" s="18" t="s">
        <v>207</v>
      </c>
      <c r="E29" s="18" t="s">
        <v>208</v>
      </c>
      <c r="F29" s="17" t="s">
        <v>209</v>
      </c>
      <c r="G29" s="19">
        <v>50488</v>
      </c>
      <c r="H29" s="18">
        <v>2158058</v>
      </c>
      <c r="I29" s="20" t="s">
        <v>617</v>
      </c>
      <c r="J29" s="18" t="s">
        <v>618</v>
      </c>
      <c r="K29" s="18">
        <v>2015</v>
      </c>
      <c r="L29" s="17" t="s">
        <v>163</v>
      </c>
      <c r="M29" s="18">
        <v>12</v>
      </c>
      <c r="N29" s="18" t="s">
        <v>619</v>
      </c>
      <c r="O29" s="18"/>
      <c r="P29" s="21"/>
      <c r="Q29" s="16"/>
      <c r="R29" s="16"/>
      <c r="S29" s="16"/>
      <c r="T29" s="16"/>
      <c r="U29" s="18">
        <v>11</v>
      </c>
      <c r="V29" s="18" t="s">
        <v>619</v>
      </c>
      <c r="W29" s="18"/>
      <c r="X29" s="18" t="s">
        <v>212</v>
      </c>
      <c r="Y29" s="18" t="s">
        <v>621</v>
      </c>
      <c r="Z29" s="18"/>
      <c r="AA29" s="18"/>
      <c r="AB29" s="18"/>
      <c r="AC29" s="18"/>
      <c r="AD29" s="18"/>
      <c r="AE29" s="23"/>
    </row>
    <row r="30" spans="1:31" x14ac:dyDescent="0.3">
      <c r="A30" s="12"/>
      <c r="B30" s="10"/>
      <c r="C30" s="11">
        <v>8903</v>
      </c>
      <c r="D30" s="12" t="s">
        <v>207</v>
      </c>
      <c r="E30" s="12" t="s">
        <v>208</v>
      </c>
      <c r="F30" s="11" t="s">
        <v>209</v>
      </c>
      <c r="G30" s="13">
        <v>29387</v>
      </c>
      <c r="H30" s="12">
        <v>2027615</v>
      </c>
      <c r="I30" s="14" t="s">
        <v>617</v>
      </c>
      <c r="J30" s="12" t="s">
        <v>620</v>
      </c>
      <c r="K30" s="12">
        <v>1990</v>
      </c>
      <c r="L30" s="11" t="s">
        <v>163</v>
      </c>
      <c r="M30" s="12">
        <v>35</v>
      </c>
      <c r="N30" s="12" t="s">
        <v>264</v>
      </c>
      <c r="O30" s="12"/>
      <c r="P30" s="15"/>
      <c r="Q30" s="10"/>
      <c r="R30" s="10"/>
      <c r="S30" s="10"/>
      <c r="T30" s="10"/>
      <c r="U30" s="12">
        <v>36</v>
      </c>
      <c r="V30" s="12" t="s">
        <v>89</v>
      </c>
      <c r="W30" s="12"/>
      <c r="X30" s="12" t="s">
        <v>212</v>
      </c>
      <c r="Y30" s="12" t="s">
        <v>622</v>
      </c>
      <c r="Z30" s="12"/>
      <c r="AA30" s="12"/>
      <c r="AB30" s="12"/>
      <c r="AC30" s="12"/>
      <c r="AD30" s="12"/>
      <c r="AE30" s="22"/>
    </row>
    <row r="31" spans="1:31" x14ac:dyDescent="0.3">
      <c r="A31" s="18"/>
      <c r="B31" s="16"/>
      <c r="C31" s="17">
        <v>8903</v>
      </c>
      <c r="D31" s="18" t="s">
        <v>207</v>
      </c>
      <c r="E31" s="18" t="s">
        <v>208</v>
      </c>
      <c r="F31" s="17" t="s">
        <v>209</v>
      </c>
      <c r="G31" s="19">
        <v>50193</v>
      </c>
      <c r="H31" s="18">
        <v>2107869</v>
      </c>
      <c r="I31" s="20" t="s">
        <v>291</v>
      </c>
      <c r="J31" s="18" t="s">
        <v>271</v>
      </c>
      <c r="K31" s="18">
        <v>1987</v>
      </c>
      <c r="L31" s="17" t="s">
        <v>163</v>
      </c>
      <c r="M31" s="18">
        <v>35</v>
      </c>
      <c r="N31" s="18" t="s">
        <v>264</v>
      </c>
      <c r="O31" s="18"/>
      <c r="P31" s="21"/>
      <c r="Q31" s="16"/>
      <c r="R31" s="16"/>
      <c r="S31" s="16"/>
      <c r="T31" s="16"/>
      <c r="U31" s="18">
        <v>39</v>
      </c>
      <c r="V31" s="18" t="s">
        <v>89</v>
      </c>
      <c r="W31" s="18"/>
      <c r="X31" s="18" t="s">
        <v>212</v>
      </c>
      <c r="Y31" s="18" t="s">
        <v>292</v>
      </c>
      <c r="Z31" s="18"/>
      <c r="AA31" s="18"/>
      <c r="AB31" s="18"/>
      <c r="AC31" s="18"/>
      <c r="AD31" s="18"/>
      <c r="AE31" s="23"/>
    </row>
    <row r="32" spans="1:31" x14ac:dyDescent="0.3">
      <c r="A32" s="12"/>
      <c r="B32" s="10"/>
      <c r="C32" s="11">
        <v>8903</v>
      </c>
      <c r="D32" s="12" t="s">
        <v>207</v>
      </c>
      <c r="E32" s="12" t="s">
        <v>208</v>
      </c>
      <c r="F32" s="11" t="s">
        <v>209</v>
      </c>
      <c r="G32" s="13">
        <v>843656</v>
      </c>
      <c r="H32" s="12">
        <v>1890303</v>
      </c>
      <c r="I32" s="14" t="s">
        <v>293</v>
      </c>
      <c r="J32" s="12" t="s">
        <v>294</v>
      </c>
      <c r="K32" s="12">
        <v>1977</v>
      </c>
      <c r="L32" s="11" t="s">
        <v>163</v>
      </c>
      <c r="M32" s="12">
        <v>45</v>
      </c>
      <c r="N32" s="12" t="s">
        <v>230</v>
      </c>
      <c r="O32" s="12"/>
      <c r="P32" s="15"/>
      <c r="Q32" s="10"/>
      <c r="R32" s="10"/>
      <c r="S32" s="10"/>
      <c r="T32" s="10"/>
      <c r="U32" s="12">
        <v>49</v>
      </c>
      <c r="V32" s="12" t="s">
        <v>138</v>
      </c>
      <c r="W32" s="12"/>
      <c r="X32" s="12" t="s">
        <v>295</v>
      </c>
      <c r="Y32" s="12" t="s">
        <v>296</v>
      </c>
      <c r="Z32" s="12"/>
      <c r="AA32" s="12"/>
      <c r="AB32" s="12"/>
      <c r="AC32" s="12"/>
      <c r="AD32" s="12"/>
      <c r="AE32" s="22"/>
    </row>
    <row r="33" spans="1:31" x14ac:dyDescent="0.3">
      <c r="A33" s="18"/>
      <c r="B33" s="16"/>
      <c r="C33" s="17">
        <v>8903</v>
      </c>
      <c r="D33" s="18" t="s">
        <v>207</v>
      </c>
      <c r="E33" s="18" t="s">
        <v>208</v>
      </c>
      <c r="F33" s="17" t="s">
        <v>209</v>
      </c>
      <c r="G33" s="19">
        <v>10809</v>
      </c>
      <c r="H33" s="18">
        <v>8008903</v>
      </c>
      <c r="I33" s="20" t="s">
        <v>297</v>
      </c>
      <c r="J33" s="18" t="s">
        <v>298</v>
      </c>
      <c r="K33" s="18">
        <v>1958</v>
      </c>
      <c r="L33" s="17" t="s">
        <v>163</v>
      </c>
      <c r="M33" s="18">
        <v>65</v>
      </c>
      <c r="N33" s="18" t="s">
        <v>72</v>
      </c>
      <c r="O33" s="18">
        <v>1080</v>
      </c>
      <c r="P33" s="21">
        <v>4342</v>
      </c>
      <c r="Q33" s="16">
        <v>1020</v>
      </c>
      <c r="R33" s="16">
        <v>4037</v>
      </c>
      <c r="S33" s="16"/>
      <c r="T33" s="16"/>
      <c r="U33" s="18">
        <v>68</v>
      </c>
      <c r="V33" s="18" t="s">
        <v>216</v>
      </c>
      <c r="W33" s="18"/>
      <c r="X33" s="18" t="s">
        <v>212</v>
      </c>
      <c r="Y33" s="18" t="s">
        <v>299</v>
      </c>
      <c r="Z33" s="18"/>
      <c r="AA33" s="18"/>
      <c r="AB33" s="18"/>
      <c r="AC33" s="18"/>
      <c r="AD33" s="18">
        <v>10809</v>
      </c>
      <c r="AE33" s="23"/>
    </row>
    <row r="34" spans="1:31" x14ac:dyDescent="0.3">
      <c r="A34" s="12"/>
      <c r="B34" s="10"/>
      <c r="C34" s="11">
        <v>8903</v>
      </c>
      <c r="D34" s="12" t="s">
        <v>207</v>
      </c>
      <c r="E34" s="12" t="s">
        <v>208</v>
      </c>
      <c r="F34" s="11" t="s">
        <v>209</v>
      </c>
      <c r="G34" s="13">
        <v>45975</v>
      </c>
      <c r="H34" s="12">
        <v>7860331</v>
      </c>
      <c r="I34" s="14" t="s">
        <v>300</v>
      </c>
      <c r="J34" s="12" t="s">
        <v>301</v>
      </c>
      <c r="K34" s="12">
        <v>1986</v>
      </c>
      <c r="L34" s="11" t="s">
        <v>71</v>
      </c>
      <c r="M34" s="12">
        <v>140</v>
      </c>
      <c r="N34" s="12" t="s">
        <v>154</v>
      </c>
      <c r="O34" s="12">
        <v>4199</v>
      </c>
      <c r="P34" s="15">
        <v>1185</v>
      </c>
      <c r="Q34" s="10"/>
      <c r="R34" s="10"/>
      <c r="S34" s="10"/>
      <c r="T34" s="10"/>
      <c r="U34" s="12">
        <v>40</v>
      </c>
      <c r="V34" s="12" t="s">
        <v>154</v>
      </c>
      <c r="W34" s="12"/>
      <c r="X34" s="12" t="s">
        <v>212</v>
      </c>
      <c r="Y34" s="12" t="s">
        <v>302</v>
      </c>
      <c r="Z34" s="12"/>
      <c r="AA34" s="12"/>
      <c r="AB34" s="12"/>
      <c r="AC34" s="12"/>
      <c r="AD34" s="12">
        <v>45975</v>
      </c>
      <c r="AE34" s="22"/>
    </row>
    <row r="35" spans="1:31" x14ac:dyDescent="0.3">
      <c r="A35" s="18"/>
      <c r="B35" s="16"/>
      <c r="C35" s="17">
        <v>8903</v>
      </c>
      <c r="D35" s="18" t="s">
        <v>207</v>
      </c>
      <c r="E35" s="18" t="s">
        <v>208</v>
      </c>
      <c r="F35" s="17" t="s">
        <v>209</v>
      </c>
      <c r="G35" s="19">
        <v>27837</v>
      </c>
      <c r="H35" s="18">
        <v>8890304</v>
      </c>
      <c r="I35" s="20" t="s">
        <v>303</v>
      </c>
      <c r="J35" s="18" t="s">
        <v>304</v>
      </c>
      <c r="K35" s="18">
        <v>1970</v>
      </c>
      <c r="L35" s="17" t="s">
        <v>71</v>
      </c>
      <c r="M35" s="18">
        <v>155</v>
      </c>
      <c r="N35" s="18" t="s">
        <v>268</v>
      </c>
      <c r="O35" s="18">
        <v>2634</v>
      </c>
      <c r="P35" s="21">
        <v>2949</v>
      </c>
      <c r="Q35" s="16">
        <v>1646</v>
      </c>
      <c r="R35" s="16">
        <v>3211</v>
      </c>
      <c r="S35" s="16">
        <v>345</v>
      </c>
      <c r="T35" s="16">
        <v>3021</v>
      </c>
      <c r="U35" s="18">
        <v>56</v>
      </c>
      <c r="V35" s="18" t="s">
        <v>121</v>
      </c>
      <c r="W35" s="18"/>
      <c r="X35" s="18" t="s">
        <v>212</v>
      </c>
      <c r="Y35" s="18" t="s">
        <v>305</v>
      </c>
      <c r="Z35" s="18"/>
      <c r="AA35" s="18"/>
      <c r="AB35" s="18"/>
      <c r="AC35" s="18"/>
      <c r="AD35" s="18">
        <v>27837</v>
      </c>
      <c r="AE35" s="23"/>
    </row>
    <row r="36" spans="1:31" x14ac:dyDescent="0.3">
      <c r="A36" s="12"/>
      <c r="B36" s="10"/>
      <c r="C36" s="11">
        <v>8903</v>
      </c>
      <c r="D36" s="12" t="s">
        <v>207</v>
      </c>
      <c r="E36" s="12" t="s">
        <v>208</v>
      </c>
      <c r="F36" s="11" t="s">
        <v>209</v>
      </c>
      <c r="G36" s="13">
        <v>12192</v>
      </c>
      <c r="H36" s="12">
        <v>8890303</v>
      </c>
      <c r="I36" s="14" t="s">
        <v>306</v>
      </c>
      <c r="J36" s="12" t="s">
        <v>307</v>
      </c>
      <c r="K36" s="12">
        <v>1950</v>
      </c>
      <c r="L36" s="11" t="s">
        <v>163</v>
      </c>
      <c r="M36" s="12">
        <v>75</v>
      </c>
      <c r="N36" s="12" t="s">
        <v>108</v>
      </c>
      <c r="O36" s="12">
        <v>3493</v>
      </c>
      <c r="P36" s="15">
        <v>2113</v>
      </c>
      <c r="Q36" s="10"/>
      <c r="R36" s="10"/>
      <c r="S36" s="10"/>
      <c r="T36" s="10"/>
      <c r="U36" s="12">
        <v>76</v>
      </c>
      <c r="V36" s="12" t="s">
        <v>108</v>
      </c>
      <c r="W36" s="12"/>
      <c r="X36" s="12" t="s">
        <v>212</v>
      </c>
      <c r="Y36" s="12" t="s">
        <v>308</v>
      </c>
      <c r="Z36" s="12"/>
      <c r="AA36" s="12"/>
      <c r="AB36" s="12"/>
      <c r="AC36" s="12"/>
      <c r="AD36" s="12">
        <v>12192</v>
      </c>
      <c r="AE36" s="22"/>
    </row>
    <row r="37" spans="1:31" x14ac:dyDescent="0.3">
      <c r="A37" s="18"/>
      <c r="B37" s="16"/>
      <c r="C37" s="17">
        <v>8903</v>
      </c>
      <c r="D37" s="18" t="s">
        <v>207</v>
      </c>
      <c r="E37" s="18" t="s">
        <v>208</v>
      </c>
      <c r="F37" s="17" t="s">
        <v>209</v>
      </c>
      <c r="G37" s="19">
        <v>29450</v>
      </c>
      <c r="H37" s="18">
        <v>8547726</v>
      </c>
      <c r="I37" s="20" t="s">
        <v>309</v>
      </c>
      <c r="J37" s="18" t="s">
        <v>310</v>
      </c>
      <c r="K37" s="18">
        <v>1961</v>
      </c>
      <c r="L37" s="17" t="s">
        <v>163</v>
      </c>
      <c r="M37" s="18">
        <v>65</v>
      </c>
      <c r="N37" s="18" t="s">
        <v>72</v>
      </c>
      <c r="O37" s="18">
        <v>2774</v>
      </c>
      <c r="P37" s="21">
        <v>2819</v>
      </c>
      <c r="Q37" s="16">
        <v>1746</v>
      </c>
      <c r="R37" s="16">
        <v>3073</v>
      </c>
      <c r="S37" s="16"/>
      <c r="T37" s="16"/>
      <c r="U37" s="18">
        <v>65</v>
      </c>
      <c r="V37" s="18" t="s">
        <v>216</v>
      </c>
      <c r="W37" s="18"/>
      <c r="X37" s="18" t="s">
        <v>212</v>
      </c>
      <c r="Y37" s="18" t="s">
        <v>311</v>
      </c>
      <c r="Z37" s="18"/>
      <c r="AA37" s="18"/>
      <c r="AB37" s="18"/>
      <c r="AC37" s="18"/>
      <c r="AD37" s="18">
        <v>29450</v>
      </c>
      <c r="AE37" s="23"/>
    </row>
    <row r="38" spans="1:31" x14ac:dyDescent="0.3">
      <c r="A38" s="12"/>
      <c r="B38" s="10"/>
      <c r="C38" s="11">
        <v>8903</v>
      </c>
      <c r="D38" s="12" t="s">
        <v>207</v>
      </c>
      <c r="E38" s="12" t="s">
        <v>208</v>
      </c>
      <c r="F38" s="11" t="s">
        <v>209</v>
      </c>
      <c r="G38" s="13">
        <v>49692</v>
      </c>
      <c r="H38" s="12">
        <v>2158056</v>
      </c>
      <c r="I38" s="14" t="s">
        <v>312</v>
      </c>
      <c r="J38" s="12" t="s">
        <v>313</v>
      </c>
      <c r="K38" s="12">
        <v>1983</v>
      </c>
      <c r="L38" s="11" t="s">
        <v>71</v>
      </c>
      <c r="M38" s="12">
        <v>140</v>
      </c>
      <c r="N38" s="12" t="s">
        <v>154</v>
      </c>
      <c r="O38" s="12">
        <v>3377</v>
      </c>
      <c r="P38" s="15">
        <v>2223</v>
      </c>
      <c r="Q38" s="10">
        <v>2125</v>
      </c>
      <c r="R38" s="10">
        <v>2436</v>
      </c>
      <c r="S38" s="10"/>
      <c r="T38" s="10"/>
      <c r="U38" s="12">
        <v>43</v>
      </c>
      <c r="V38" s="12" t="s">
        <v>154</v>
      </c>
      <c r="W38" s="12"/>
      <c r="X38" s="12" t="s">
        <v>212</v>
      </c>
      <c r="Y38" s="12" t="s">
        <v>314</v>
      </c>
      <c r="Z38" s="12"/>
      <c r="AA38" s="12"/>
      <c r="AB38" s="12"/>
      <c r="AC38" s="12"/>
      <c r="AD38" s="12">
        <v>49692</v>
      </c>
      <c r="AE38" s="22"/>
    </row>
    <row r="39" spans="1:31" x14ac:dyDescent="0.3">
      <c r="A39" s="18"/>
      <c r="B39" s="16"/>
      <c r="C39" s="17">
        <v>8903</v>
      </c>
      <c r="D39" s="18" t="s">
        <v>207</v>
      </c>
      <c r="E39" s="18" t="s">
        <v>208</v>
      </c>
      <c r="F39" s="17" t="s">
        <v>209</v>
      </c>
      <c r="G39" s="19">
        <v>24441</v>
      </c>
      <c r="H39" s="18">
        <v>8890301</v>
      </c>
      <c r="I39" s="20" t="s">
        <v>315</v>
      </c>
      <c r="J39" s="18" t="s">
        <v>316</v>
      </c>
      <c r="K39" s="18">
        <v>2000</v>
      </c>
      <c r="L39" s="17" t="s">
        <v>71</v>
      </c>
      <c r="M39" s="18">
        <v>121</v>
      </c>
      <c r="N39" s="18" t="s">
        <v>75</v>
      </c>
      <c r="O39" s="18">
        <v>2196</v>
      </c>
      <c r="P39" s="21">
        <v>3330</v>
      </c>
      <c r="Q39" s="16">
        <v>1236</v>
      </c>
      <c r="R39" s="16">
        <v>3745</v>
      </c>
      <c r="S39" s="16"/>
      <c r="T39" s="16"/>
      <c r="U39" s="18">
        <v>26</v>
      </c>
      <c r="V39" s="18" t="s">
        <v>75</v>
      </c>
      <c r="W39" s="18"/>
      <c r="X39" s="18" t="s">
        <v>212</v>
      </c>
      <c r="Y39" s="18" t="s">
        <v>317</v>
      </c>
      <c r="Z39" s="18"/>
      <c r="AA39" s="18"/>
      <c r="AB39" s="18"/>
      <c r="AC39" s="18"/>
      <c r="AD39" s="18">
        <v>24441</v>
      </c>
      <c r="AE39" s="23"/>
    </row>
    <row r="40" spans="1:31" x14ac:dyDescent="0.3">
      <c r="A40" s="12"/>
      <c r="B40" s="10"/>
      <c r="C40" s="11">
        <v>8903</v>
      </c>
      <c r="D40" s="12" t="s">
        <v>207</v>
      </c>
      <c r="E40" s="12" t="s">
        <v>208</v>
      </c>
      <c r="F40" s="11" t="s">
        <v>209</v>
      </c>
      <c r="G40" s="13">
        <v>23131</v>
      </c>
      <c r="H40" s="12">
        <v>8280173</v>
      </c>
      <c r="I40" s="14" t="s">
        <v>315</v>
      </c>
      <c r="J40" s="12" t="s">
        <v>318</v>
      </c>
      <c r="K40" s="12">
        <v>1973</v>
      </c>
      <c r="L40" s="11" t="s">
        <v>163</v>
      </c>
      <c r="M40" s="12">
        <v>50</v>
      </c>
      <c r="N40" s="12" t="s">
        <v>77</v>
      </c>
      <c r="O40" s="12">
        <v>720</v>
      </c>
      <c r="P40" s="15">
        <v>4880</v>
      </c>
      <c r="Q40" s="10">
        <v>638</v>
      </c>
      <c r="R40" s="10">
        <v>4616</v>
      </c>
      <c r="S40" s="10">
        <v>149</v>
      </c>
      <c r="T40" s="10">
        <v>4335</v>
      </c>
      <c r="U40" s="12">
        <v>53</v>
      </c>
      <c r="V40" s="12" t="s">
        <v>77</v>
      </c>
      <c r="W40" s="12"/>
      <c r="X40" s="12" t="s">
        <v>212</v>
      </c>
      <c r="Y40" s="12" t="s">
        <v>319</v>
      </c>
      <c r="Z40" s="12"/>
      <c r="AA40" s="12"/>
      <c r="AB40" s="12"/>
      <c r="AC40" s="12"/>
      <c r="AD40" s="12">
        <v>23131</v>
      </c>
      <c r="AE40" s="22"/>
    </row>
    <row r="41" spans="1:31" x14ac:dyDescent="0.3">
      <c r="A41" s="18"/>
      <c r="B41" s="16"/>
      <c r="C41" s="17">
        <v>8903</v>
      </c>
      <c r="D41" s="18" t="s">
        <v>207</v>
      </c>
      <c r="E41" s="18" t="s">
        <v>208</v>
      </c>
      <c r="F41" s="17" t="s">
        <v>209</v>
      </c>
      <c r="G41" s="19">
        <v>29218</v>
      </c>
      <c r="H41" s="18">
        <v>8212535</v>
      </c>
      <c r="I41" s="20" t="s">
        <v>315</v>
      </c>
      <c r="J41" s="18" t="s">
        <v>320</v>
      </c>
      <c r="K41" s="18">
        <v>2006</v>
      </c>
      <c r="L41" s="17" t="s">
        <v>163</v>
      </c>
      <c r="M41" s="18">
        <v>20</v>
      </c>
      <c r="N41" s="18" t="s">
        <v>321</v>
      </c>
      <c r="O41" s="18">
        <v>2171</v>
      </c>
      <c r="P41" s="21">
        <v>3355</v>
      </c>
      <c r="Q41" s="16">
        <v>1319</v>
      </c>
      <c r="R41" s="16">
        <v>3633</v>
      </c>
      <c r="S41" s="16">
        <v>347</v>
      </c>
      <c r="T41" s="16">
        <v>3007</v>
      </c>
      <c r="U41" s="18">
        <v>20</v>
      </c>
      <c r="V41" s="18" t="s">
        <v>321</v>
      </c>
      <c r="W41" s="18"/>
      <c r="X41" s="18" t="s">
        <v>212</v>
      </c>
      <c r="Y41" s="18" t="s">
        <v>322</v>
      </c>
      <c r="Z41" s="18"/>
      <c r="AA41" s="18"/>
      <c r="AB41" s="18"/>
      <c r="AC41" s="18"/>
      <c r="AD41" s="18">
        <v>29218</v>
      </c>
      <c r="AE41" s="23"/>
    </row>
    <row r="42" spans="1:31" x14ac:dyDescent="0.3">
      <c r="A42" s="12"/>
      <c r="B42" s="10"/>
      <c r="C42" s="11">
        <v>8903</v>
      </c>
      <c r="D42" s="12" t="s">
        <v>207</v>
      </c>
      <c r="E42" s="12" t="s">
        <v>208</v>
      </c>
      <c r="F42" s="11" t="s">
        <v>209</v>
      </c>
      <c r="G42" s="13">
        <v>13842</v>
      </c>
      <c r="H42" s="12">
        <v>1890307</v>
      </c>
      <c r="I42" s="14" t="s">
        <v>323</v>
      </c>
      <c r="J42" s="12" t="s">
        <v>324</v>
      </c>
      <c r="K42" s="12">
        <v>1958</v>
      </c>
      <c r="L42" s="11" t="s">
        <v>71</v>
      </c>
      <c r="M42" s="12">
        <v>165</v>
      </c>
      <c r="N42" s="12" t="s">
        <v>124</v>
      </c>
      <c r="O42" s="12">
        <v>4331</v>
      </c>
      <c r="P42" s="15">
        <v>867</v>
      </c>
      <c r="Q42" s="10">
        <v>2458</v>
      </c>
      <c r="R42" s="10">
        <v>977</v>
      </c>
      <c r="S42" s="10"/>
      <c r="T42" s="10"/>
      <c r="U42" s="12">
        <v>68</v>
      </c>
      <c r="V42" s="12" t="s">
        <v>325</v>
      </c>
      <c r="W42" s="12"/>
      <c r="X42" s="12" t="s">
        <v>212</v>
      </c>
      <c r="Y42" s="12" t="s">
        <v>326</v>
      </c>
      <c r="Z42" s="12"/>
      <c r="AA42" s="12"/>
      <c r="AB42" s="12"/>
      <c r="AC42" s="12"/>
      <c r="AD42" s="12">
        <v>13842</v>
      </c>
      <c r="AE42" s="22"/>
    </row>
    <row r="43" spans="1:31" x14ac:dyDescent="0.3">
      <c r="A43" s="18"/>
      <c r="B43" s="16"/>
      <c r="C43" s="17">
        <v>8903</v>
      </c>
      <c r="D43" s="18" t="s">
        <v>207</v>
      </c>
      <c r="E43" s="18" t="s">
        <v>208</v>
      </c>
      <c r="F43" s="17" t="s">
        <v>209</v>
      </c>
      <c r="G43" s="19">
        <v>15021</v>
      </c>
      <c r="H43" s="18">
        <v>8005961</v>
      </c>
      <c r="I43" s="20" t="s">
        <v>327</v>
      </c>
      <c r="J43" s="18" t="s">
        <v>310</v>
      </c>
      <c r="K43" s="18">
        <v>1961</v>
      </c>
      <c r="L43" s="17" t="s">
        <v>163</v>
      </c>
      <c r="M43" s="18">
        <v>65</v>
      </c>
      <c r="N43" s="18" t="s">
        <v>72</v>
      </c>
      <c r="O43" s="18">
        <v>1825</v>
      </c>
      <c r="P43" s="21">
        <v>3667</v>
      </c>
      <c r="Q43" s="16">
        <v>1090</v>
      </c>
      <c r="R43" s="16">
        <v>3929</v>
      </c>
      <c r="S43" s="16">
        <v>270</v>
      </c>
      <c r="T43" s="16">
        <v>3471</v>
      </c>
      <c r="U43" s="18">
        <v>65</v>
      </c>
      <c r="V43" s="18" t="s">
        <v>216</v>
      </c>
      <c r="W43" s="18"/>
      <c r="X43" s="18" t="s">
        <v>212</v>
      </c>
      <c r="Y43" s="18" t="s">
        <v>328</v>
      </c>
      <c r="Z43" s="18"/>
      <c r="AA43" s="18"/>
      <c r="AB43" s="18"/>
      <c r="AC43" s="18"/>
      <c r="AD43" s="18">
        <v>15021</v>
      </c>
      <c r="AE43" s="23"/>
    </row>
    <row r="44" spans="1:31" x14ac:dyDescent="0.3">
      <c r="A44" s="12"/>
      <c r="B44" s="10"/>
      <c r="C44" s="11">
        <v>8903</v>
      </c>
      <c r="D44" s="12" t="s">
        <v>207</v>
      </c>
      <c r="E44" s="12" t="s">
        <v>208</v>
      </c>
      <c r="F44" s="11" t="s">
        <v>209</v>
      </c>
      <c r="G44" s="13">
        <v>38552</v>
      </c>
      <c r="H44" s="12">
        <v>8533480</v>
      </c>
      <c r="I44" s="14" t="s">
        <v>329</v>
      </c>
      <c r="J44" s="12" t="s">
        <v>330</v>
      </c>
      <c r="K44" s="12">
        <v>1983</v>
      </c>
      <c r="L44" s="11" t="s">
        <v>163</v>
      </c>
      <c r="M44" s="12">
        <v>40</v>
      </c>
      <c r="N44" s="12" t="s">
        <v>138</v>
      </c>
      <c r="O44" s="12">
        <v>807</v>
      </c>
      <c r="P44" s="15">
        <v>4731</v>
      </c>
      <c r="Q44" s="10">
        <v>761</v>
      </c>
      <c r="R44" s="10">
        <v>4400</v>
      </c>
      <c r="S44" s="10"/>
      <c r="T44" s="10"/>
      <c r="U44" s="12">
        <v>43</v>
      </c>
      <c r="V44" s="12" t="s">
        <v>138</v>
      </c>
      <c r="W44" s="12"/>
      <c r="X44" s="12" t="s">
        <v>212</v>
      </c>
      <c r="Y44" s="12" t="s">
        <v>331</v>
      </c>
      <c r="Z44" s="12"/>
      <c r="AA44" s="12"/>
      <c r="AB44" s="12"/>
      <c r="AC44" s="12"/>
      <c r="AD44" s="12">
        <v>38552</v>
      </c>
      <c r="AE44" s="22"/>
    </row>
    <row r="45" spans="1:31" x14ac:dyDescent="0.3">
      <c r="A45" s="18"/>
      <c r="B45" s="16"/>
      <c r="C45" s="17">
        <v>8903</v>
      </c>
      <c r="D45" s="18" t="s">
        <v>207</v>
      </c>
      <c r="E45" s="18" t="s">
        <v>208</v>
      </c>
      <c r="F45" s="17" t="s">
        <v>209</v>
      </c>
      <c r="G45" s="19">
        <v>40752</v>
      </c>
      <c r="H45" s="18">
        <v>2107868</v>
      </c>
      <c r="I45" s="20" t="s">
        <v>332</v>
      </c>
      <c r="J45" s="18" t="s">
        <v>333</v>
      </c>
      <c r="K45" s="18">
        <v>2010</v>
      </c>
      <c r="L45" s="17" t="s">
        <v>71</v>
      </c>
      <c r="M45" s="18">
        <v>116</v>
      </c>
      <c r="N45" s="18" t="s">
        <v>287</v>
      </c>
      <c r="O45" s="18">
        <v>3777</v>
      </c>
      <c r="P45" s="21">
        <v>1788</v>
      </c>
      <c r="Q45" s="16"/>
      <c r="R45" s="16"/>
      <c r="S45" s="16"/>
      <c r="T45" s="16"/>
      <c r="U45" s="18">
        <v>16</v>
      </c>
      <c r="V45" s="18" t="s">
        <v>252</v>
      </c>
      <c r="W45" s="18"/>
      <c r="X45" s="18" t="s">
        <v>212</v>
      </c>
      <c r="Y45" s="18" t="s">
        <v>334</v>
      </c>
      <c r="Z45" s="18"/>
      <c r="AA45" s="18"/>
      <c r="AB45" s="18"/>
      <c r="AC45" s="18"/>
      <c r="AD45" s="18">
        <v>40752</v>
      </c>
      <c r="AE45" s="23"/>
    </row>
    <row r="46" spans="1:31" x14ac:dyDescent="0.3">
      <c r="A46" s="12"/>
      <c r="B46" s="10"/>
      <c r="C46" s="11">
        <v>8903</v>
      </c>
      <c r="D46" s="12" t="s">
        <v>207</v>
      </c>
      <c r="E46" s="12" t="s">
        <v>208</v>
      </c>
      <c r="F46" s="11" t="s">
        <v>209</v>
      </c>
      <c r="G46" s="13">
        <v>38553</v>
      </c>
      <c r="H46" s="12">
        <v>349306</v>
      </c>
      <c r="I46" s="14" t="s">
        <v>332</v>
      </c>
      <c r="J46" s="12" t="s">
        <v>335</v>
      </c>
      <c r="K46" s="12">
        <v>2007</v>
      </c>
      <c r="L46" s="11" t="s">
        <v>163</v>
      </c>
      <c r="M46" s="12">
        <v>20</v>
      </c>
      <c r="N46" s="12" t="s">
        <v>321</v>
      </c>
      <c r="O46" s="12">
        <v>2504</v>
      </c>
      <c r="P46" s="15">
        <v>3071</v>
      </c>
      <c r="Q46" s="10">
        <v>1480</v>
      </c>
      <c r="R46" s="10">
        <v>3429</v>
      </c>
      <c r="S46" s="10"/>
      <c r="T46" s="10"/>
      <c r="U46" s="12">
        <v>19</v>
      </c>
      <c r="V46" s="12" t="s">
        <v>321</v>
      </c>
      <c r="W46" s="12"/>
      <c r="X46" s="12" t="s">
        <v>212</v>
      </c>
      <c r="Y46" s="12" t="s">
        <v>336</v>
      </c>
      <c r="Z46" s="12"/>
      <c r="AA46" s="12"/>
      <c r="AB46" s="12"/>
      <c r="AC46" s="12"/>
      <c r="AD46" s="12">
        <v>38553</v>
      </c>
      <c r="AE46" s="22"/>
    </row>
    <row r="47" spans="1:31" x14ac:dyDescent="0.3">
      <c r="A47" s="18"/>
      <c r="B47" s="16"/>
      <c r="C47" s="17">
        <v>8903</v>
      </c>
      <c r="D47" s="18" t="s">
        <v>207</v>
      </c>
      <c r="E47" s="18" t="s">
        <v>208</v>
      </c>
      <c r="F47" s="17" t="s">
        <v>209</v>
      </c>
      <c r="G47" s="19">
        <v>937729</v>
      </c>
      <c r="H47" s="18">
        <v>937729</v>
      </c>
      <c r="I47" s="20" t="s">
        <v>337</v>
      </c>
      <c r="J47" s="18" t="s">
        <v>338</v>
      </c>
      <c r="K47" s="18">
        <v>1982</v>
      </c>
      <c r="L47" s="17" t="s">
        <v>71</v>
      </c>
      <c r="M47" s="18">
        <v>140</v>
      </c>
      <c r="N47" s="18" t="s">
        <v>154</v>
      </c>
      <c r="O47" s="18"/>
      <c r="P47" s="21"/>
      <c r="Q47" s="16"/>
      <c r="R47" s="16"/>
      <c r="S47" s="16"/>
      <c r="T47" s="16"/>
      <c r="U47" s="18">
        <v>44</v>
      </c>
      <c r="V47" s="18" t="s">
        <v>154</v>
      </c>
      <c r="W47" s="18"/>
      <c r="X47" s="18" t="s">
        <v>339</v>
      </c>
      <c r="Y47" s="18" t="s">
        <v>340</v>
      </c>
      <c r="Z47" s="18"/>
      <c r="AA47" s="18"/>
      <c r="AB47" s="18"/>
      <c r="AC47" s="18"/>
      <c r="AD47" s="18"/>
      <c r="AE47" s="23"/>
    </row>
    <row r="48" spans="1:31" x14ac:dyDescent="0.3">
      <c r="A48" s="12"/>
      <c r="B48" s="10"/>
      <c r="C48" s="11">
        <v>8903</v>
      </c>
      <c r="D48" s="12" t="s">
        <v>207</v>
      </c>
      <c r="E48" s="12" t="s">
        <v>208</v>
      </c>
      <c r="F48" s="11" t="s">
        <v>209</v>
      </c>
      <c r="G48" s="13">
        <v>30940</v>
      </c>
      <c r="H48" s="12">
        <v>8546861</v>
      </c>
      <c r="I48" s="14" t="s">
        <v>341</v>
      </c>
      <c r="J48" s="12" t="s">
        <v>342</v>
      </c>
      <c r="K48" s="12">
        <v>1972</v>
      </c>
      <c r="L48" s="11" t="s">
        <v>71</v>
      </c>
      <c r="M48" s="12">
        <v>150</v>
      </c>
      <c r="N48" s="12" t="s">
        <v>121</v>
      </c>
      <c r="O48" s="12">
        <v>2447</v>
      </c>
      <c r="P48" s="15">
        <v>3129</v>
      </c>
      <c r="Q48" s="10">
        <v>1671</v>
      </c>
      <c r="R48" s="10">
        <v>3179</v>
      </c>
      <c r="S48" s="10"/>
      <c r="T48" s="10"/>
      <c r="U48" s="12">
        <v>54</v>
      </c>
      <c r="V48" s="12" t="s">
        <v>121</v>
      </c>
      <c r="W48" s="12"/>
      <c r="X48" s="12" t="s">
        <v>212</v>
      </c>
      <c r="Y48" s="12" t="s">
        <v>343</v>
      </c>
      <c r="Z48" s="12"/>
      <c r="AA48" s="12"/>
      <c r="AB48" s="12"/>
      <c r="AC48" s="12"/>
      <c r="AD48" s="12">
        <v>30940</v>
      </c>
      <c r="AE48" s="22"/>
    </row>
    <row r="49" spans="1:31" x14ac:dyDescent="0.3">
      <c r="A49" s="18"/>
      <c r="B49" s="16"/>
      <c r="C49" s="17">
        <v>8903</v>
      </c>
      <c r="D49" s="18" t="s">
        <v>207</v>
      </c>
      <c r="E49" s="18" t="s">
        <v>208</v>
      </c>
      <c r="F49" s="17" t="s">
        <v>209</v>
      </c>
      <c r="G49" s="19">
        <v>2499</v>
      </c>
      <c r="H49" s="18">
        <v>8509002</v>
      </c>
      <c r="I49" s="20" t="s">
        <v>344</v>
      </c>
      <c r="J49" s="18" t="s">
        <v>345</v>
      </c>
      <c r="K49" s="18">
        <v>1971</v>
      </c>
      <c r="L49" s="17" t="s">
        <v>163</v>
      </c>
      <c r="M49" s="18">
        <v>55</v>
      </c>
      <c r="N49" s="18" t="s">
        <v>147</v>
      </c>
      <c r="O49" s="18">
        <v>815</v>
      </c>
      <c r="P49" s="21">
        <v>4723</v>
      </c>
      <c r="Q49" s="16"/>
      <c r="R49" s="16"/>
      <c r="S49" s="16"/>
      <c r="T49" s="16"/>
      <c r="U49" s="18">
        <v>55</v>
      </c>
      <c r="V49" s="18" t="s">
        <v>77</v>
      </c>
      <c r="W49" s="18"/>
      <c r="X49" s="18" t="s">
        <v>212</v>
      </c>
      <c r="Y49" s="18" t="s">
        <v>346</v>
      </c>
      <c r="Z49" s="18"/>
      <c r="AA49" s="18"/>
      <c r="AB49" s="18"/>
      <c r="AC49" s="18"/>
      <c r="AD49" s="18">
        <v>2499</v>
      </c>
      <c r="AE49" s="23"/>
    </row>
    <row r="50" spans="1:31" x14ac:dyDescent="0.3">
      <c r="A50" s="12"/>
      <c r="B50" s="10"/>
      <c r="C50" s="11">
        <v>8903</v>
      </c>
      <c r="D50" s="12" t="s">
        <v>207</v>
      </c>
      <c r="E50" s="12" t="s">
        <v>208</v>
      </c>
      <c r="F50" s="11" t="s">
        <v>209</v>
      </c>
      <c r="G50" s="13">
        <v>20403</v>
      </c>
      <c r="H50" s="12">
        <v>2025719</v>
      </c>
      <c r="I50" s="14" t="s">
        <v>344</v>
      </c>
      <c r="J50" s="12" t="s">
        <v>347</v>
      </c>
      <c r="K50" s="12">
        <v>2003</v>
      </c>
      <c r="L50" s="11" t="s">
        <v>71</v>
      </c>
      <c r="M50" s="12">
        <v>121</v>
      </c>
      <c r="N50" s="12" t="s">
        <v>75</v>
      </c>
      <c r="O50" s="12"/>
      <c r="P50" s="15"/>
      <c r="Q50" s="10"/>
      <c r="R50" s="10"/>
      <c r="S50" s="10"/>
      <c r="T50" s="10"/>
      <c r="U50" s="12">
        <v>23</v>
      </c>
      <c r="V50" s="12" t="s">
        <v>75</v>
      </c>
      <c r="W50" s="12"/>
      <c r="X50" s="12" t="s">
        <v>212</v>
      </c>
      <c r="Y50" s="12" t="s">
        <v>348</v>
      </c>
      <c r="Z50" s="12"/>
      <c r="AA50" s="12"/>
      <c r="AB50" s="12"/>
      <c r="AC50" s="12"/>
      <c r="AD50" s="12"/>
      <c r="AE50" s="22"/>
    </row>
    <row r="51" spans="1:31" x14ac:dyDescent="0.3">
      <c r="A51" s="12"/>
      <c r="B51" s="10"/>
      <c r="C51" s="11">
        <v>8903</v>
      </c>
      <c r="D51" s="12" t="s">
        <v>207</v>
      </c>
      <c r="E51" s="12" t="s">
        <v>208</v>
      </c>
      <c r="F51" s="11" t="s">
        <v>209</v>
      </c>
      <c r="G51" s="13">
        <v>48037</v>
      </c>
      <c r="H51" s="12">
        <v>2158060</v>
      </c>
      <c r="I51" s="14" t="s">
        <v>349</v>
      </c>
      <c r="J51" s="12" t="s">
        <v>350</v>
      </c>
      <c r="K51" s="12">
        <v>1973</v>
      </c>
      <c r="L51" s="11" t="s">
        <v>71</v>
      </c>
      <c r="M51" s="12">
        <v>150</v>
      </c>
      <c r="N51" s="12" t="s">
        <v>121</v>
      </c>
      <c r="O51" s="12">
        <v>4159</v>
      </c>
      <c r="P51" s="15">
        <v>1267</v>
      </c>
      <c r="Q51" s="10"/>
      <c r="R51" s="10"/>
      <c r="S51" s="10"/>
      <c r="T51" s="10"/>
      <c r="U51" s="12">
        <v>53</v>
      </c>
      <c r="V51" s="12" t="s">
        <v>121</v>
      </c>
      <c r="W51" s="12"/>
      <c r="X51" s="12" t="s">
        <v>212</v>
      </c>
      <c r="Y51" s="12" t="s">
        <v>351</v>
      </c>
      <c r="Z51" s="12"/>
      <c r="AA51" s="12"/>
      <c r="AB51" s="12"/>
      <c r="AC51" s="12"/>
      <c r="AD51" s="12">
        <v>48037</v>
      </c>
      <c r="AE51" s="22"/>
    </row>
    <row r="52" spans="1:31" x14ac:dyDescent="0.3">
      <c r="A52" s="12">
        <v>5803</v>
      </c>
      <c r="B52" s="10">
        <v>39</v>
      </c>
      <c r="C52" s="11">
        <v>5803</v>
      </c>
      <c r="D52" s="12" t="s">
        <v>352</v>
      </c>
      <c r="E52" s="12" t="s">
        <v>353</v>
      </c>
      <c r="F52" s="11" t="s">
        <v>209</v>
      </c>
      <c r="G52" s="13">
        <v>824002</v>
      </c>
      <c r="H52" s="12">
        <v>2020812</v>
      </c>
      <c r="I52" s="14" t="s">
        <v>354</v>
      </c>
      <c r="J52" s="12" t="s">
        <v>355</v>
      </c>
      <c r="K52" s="12">
        <v>1982</v>
      </c>
      <c r="L52" s="11" t="s">
        <v>163</v>
      </c>
      <c r="M52" s="12">
        <v>40</v>
      </c>
      <c r="N52" s="12" t="s">
        <v>138</v>
      </c>
      <c r="O52" s="12"/>
      <c r="P52" s="15"/>
      <c r="Q52" s="10"/>
      <c r="R52" s="10"/>
      <c r="S52" s="10"/>
      <c r="T52" s="10"/>
      <c r="U52" s="12">
        <v>44</v>
      </c>
      <c r="V52" s="12" t="s">
        <v>138</v>
      </c>
      <c r="W52" s="12"/>
      <c r="X52" s="12" t="s">
        <v>295</v>
      </c>
      <c r="Y52" s="12" t="s">
        <v>356</v>
      </c>
      <c r="Z52" s="12">
        <v>19</v>
      </c>
      <c r="AA52" s="12">
        <v>6</v>
      </c>
      <c r="AB52" s="12">
        <v>14</v>
      </c>
      <c r="AC52" s="12">
        <v>0</v>
      </c>
      <c r="AD52" s="12"/>
      <c r="AE52" s="22"/>
    </row>
    <row r="53" spans="1:31" x14ac:dyDescent="0.3">
      <c r="A53" s="18"/>
      <c r="B53" s="16"/>
      <c r="C53" s="17">
        <v>5803</v>
      </c>
      <c r="D53" s="18" t="s">
        <v>352</v>
      </c>
      <c r="E53" s="18" t="s">
        <v>353</v>
      </c>
      <c r="F53" s="17" t="s">
        <v>209</v>
      </c>
      <c r="G53" s="19">
        <v>42702</v>
      </c>
      <c r="H53" s="18">
        <v>8058014</v>
      </c>
      <c r="I53" s="20" t="s">
        <v>357</v>
      </c>
      <c r="J53" s="18" t="s">
        <v>358</v>
      </c>
      <c r="K53" s="18">
        <v>2009</v>
      </c>
      <c r="L53" s="17" t="s">
        <v>71</v>
      </c>
      <c r="M53" s="18">
        <v>118</v>
      </c>
      <c r="N53" s="18" t="s">
        <v>251</v>
      </c>
      <c r="O53" s="18">
        <v>3105</v>
      </c>
      <c r="P53" s="21">
        <v>2519</v>
      </c>
      <c r="Q53" s="16"/>
      <c r="R53" s="16"/>
      <c r="S53" s="16"/>
      <c r="T53" s="16"/>
      <c r="U53" s="18">
        <v>17</v>
      </c>
      <c r="V53" s="18" t="s">
        <v>252</v>
      </c>
      <c r="W53" s="18"/>
      <c r="X53" s="18" t="s">
        <v>212</v>
      </c>
      <c r="Y53" s="18" t="s">
        <v>359</v>
      </c>
      <c r="Z53" s="18"/>
      <c r="AA53" s="18"/>
      <c r="AB53" s="18"/>
      <c r="AC53" s="18"/>
      <c r="AD53" s="18">
        <v>42702</v>
      </c>
      <c r="AE53" s="23"/>
    </row>
    <row r="54" spans="1:31" x14ac:dyDescent="0.3">
      <c r="A54" s="12"/>
      <c r="B54" s="10"/>
      <c r="C54" s="11">
        <v>5803</v>
      </c>
      <c r="D54" s="12" t="s">
        <v>352</v>
      </c>
      <c r="E54" s="12" t="s">
        <v>353</v>
      </c>
      <c r="F54" s="11" t="s">
        <v>209</v>
      </c>
      <c r="G54" s="13">
        <v>31865</v>
      </c>
      <c r="H54" s="12">
        <v>8001968</v>
      </c>
      <c r="I54" s="14" t="s">
        <v>357</v>
      </c>
      <c r="J54" s="12" t="s">
        <v>360</v>
      </c>
      <c r="K54" s="12">
        <v>1980</v>
      </c>
      <c r="L54" s="11" t="s">
        <v>163</v>
      </c>
      <c r="M54" s="12">
        <v>45</v>
      </c>
      <c r="N54" s="12" t="s">
        <v>230</v>
      </c>
      <c r="O54" s="12">
        <v>643</v>
      </c>
      <c r="P54" s="15">
        <v>5026</v>
      </c>
      <c r="Q54" s="10"/>
      <c r="R54" s="10"/>
      <c r="S54" s="10">
        <v>79</v>
      </c>
      <c r="T54" s="10">
        <v>4914</v>
      </c>
      <c r="U54" s="12">
        <v>46</v>
      </c>
      <c r="V54" s="12" t="s">
        <v>138</v>
      </c>
      <c r="W54" s="12"/>
      <c r="X54" s="12" t="s">
        <v>212</v>
      </c>
      <c r="Y54" s="12" t="s">
        <v>361</v>
      </c>
      <c r="Z54" s="12"/>
      <c r="AA54" s="12"/>
      <c r="AB54" s="12"/>
      <c r="AC54" s="12"/>
      <c r="AD54" s="12">
        <v>31865</v>
      </c>
      <c r="AE54" s="22"/>
    </row>
    <row r="55" spans="1:31" x14ac:dyDescent="0.3">
      <c r="A55" s="18"/>
      <c r="B55" s="16"/>
      <c r="C55" s="17">
        <v>5803</v>
      </c>
      <c r="D55" s="18" t="s">
        <v>352</v>
      </c>
      <c r="E55" s="18" t="s">
        <v>353</v>
      </c>
      <c r="F55" s="17" t="s">
        <v>209</v>
      </c>
      <c r="G55" s="19">
        <v>42703</v>
      </c>
      <c r="H55" s="18">
        <v>8058013</v>
      </c>
      <c r="I55" s="20" t="s">
        <v>357</v>
      </c>
      <c r="J55" s="18" t="s">
        <v>362</v>
      </c>
      <c r="K55" s="18">
        <v>2011</v>
      </c>
      <c r="L55" s="17" t="s">
        <v>163</v>
      </c>
      <c r="M55" s="18">
        <v>16</v>
      </c>
      <c r="N55" s="18" t="s">
        <v>363</v>
      </c>
      <c r="O55" s="18"/>
      <c r="P55" s="21"/>
      <c r="Q55" s="16"/>
      <c r="R55" s="16"/>
      <c r="S55" s="16"/>
      <c r="T55" s="16"/>
      <c r="U55" s="18">
        <v>15</v>
      </c>
      <c r="V55" s="18" t="s">
        <v>227</v>
      </c>
      <c r="W55" s="18"/>
      <c r="X55" s="18" t="s">
        <v>212</v>
      </c>
      <c r="Y55" s="18" t="s">
        <v>364</v>
      </c>
      <c r="Z55" s="18"/>
      <c r="AA55" s="18"/>
      <c r="AB55" s="18"/>
      <c r="AC55" s="18"/>
      <c r="AD55" s="18"/>
      <c r="AE55" s="23"/>
    </row>
    <row r="56" spans="1:31" x14ac:dyDescent="0.3">
      <c r="A56" s="12"/>
      <c r="B56" s="10"/>
      <c r="C56" s="11">
        <v>5803</v>
      </c>
      <c r="D56" s="12" t="s">
        <v>352</v>
      </c>
      <c r="E56" s="12" t="s">
        <v>353</v>
      </c>
      <c r="F56" s="11" t="s">
        <v>209</v>
      </c>
      <c r="G56" s="13">
        <v>41014</v>
      </c>
      <c r="H56" s="12"/>
      <c r="I56" s="14" t="s">
        <v>365</v>
      </c>
      <c r="J56" s="12" t="s">
        <v>324</v>
      </c>
      <c r="K56" s="12">
        <v>1965</v>
      </c>
      <c r="L56" s="11" t="s">
        <v>71</v>
      </c>
      <c r="M56" s="12">
        <v>160</v>
      </c>
      <c r="N56" s="12" t="s">
        <v>325</v>
      </c>
      <c r="O56" s="12"/>
      <c r="P56" s="15"/>
      <c r="Q56" s="10"/>
      <c r="R56" s="10"/>
      <c r="S56" s="10"/>
      <c r="T56" s="10"/>
      <c r="U56" s="12">
        <v>61</v>
      </c>
      <c r="V56" s="12" t="s">
        <v>325</v>
      </c>
      <c r="W56" s="12"/>
      <c r="X56" s="12" t="s">
        <v>212</v>
      </c>
      <c r="Y56" s="12" t="s">
        <v>366</v>
      </c>
      <c r="Z56" s="12"/>
      <c r="AA56" s="12"/>
      <c r="AB56" s="12"/>
      <c r="AC56" s="12"/>
      <c r="AD56" s="12"/>
      <c r="AE56" s="22"/>
    </row>
    <row r="57" spans="1:31" x14ac:dyDescent="0.3">
      <c r="A57" s="18"/>
      <c r="B57" s="16"/>
      <c r="C57" s="17">
        <v>5803</v>
      </c>
      <c r="D57" s="18" t="s">
        <v>352</v>
      </c>
      <c r="E57" s="18" t="s">
        <v>353</v>
      </c>
      <c r="F57" s="17" t="s">
        <v>209</v>
      </c>
      <c r="G57" s="19">
        <v>809333</v>
      </c>
      <c r="H57" s="18">
        <v>226027</v>
      </c>
      <c r="I57" s="20" t="s">
        <v>367</v>
      </c>
      <c r="J57" s="18" t="s">
        <v>368</v>
      </c>
      <c r="K57" s="18">
        <v>1960</v>
      </c>
      <c r="L57" s="17" t="s">
        <v>163</v>
      </c>
      <c r="M57" s="18">
        <v>65</v>
      </c>
      <c r="N57" s="18" t="s">
        <v>72</v>
      </c>
      <c r="O57" s="18"/>
      <c r="P57" s="21"/>
      <c r="Q57" s="16"/>
      <c r="R57" s="16"/>
      <c r="S57" s="16"/>
      <c r="T57" s="16"/>
      <c r="U57" s="18">
        <v>66</v>
      </c>
      <c r="V57" s="18" t="s">
        <v>216</v>
      </c>
      <c r="W57" s="18"/>
      <c r="X57" s="18" t="s">
        <v>295</v>
      </c>
      <c r="Y57" s="18" t="s">
        <v>369</v>
      </c>
      <c r="Z57" s="18"/>
      <c r="AA57" s="18"/>
      <c r="AB57" s="18"/>
      <c r="AC57" s="18"/>
      <c r="AD57" s="18"/>
      <c r="AE57" s="23"/>
    </row>
    <row r="58" spans="1:31" x14ac:dyDescent="0.3">
      <c r="A58" s="12"/>
      <c r="B58" s="10"/>
      <c r="C58" s="11">
        <v>5803</v>
      </c>
      <c r="D58" s="12" t="s">
        <v>352</v>
      </c>
      <c r="E58" s="12" t="s">
        <v>353</v>
      </c>
      <c r="F58" s="11" t="s">
        <v>209</v>
      </c>
      <c r="G58" s="13">
        <v>16558</v>
      </c>
      <c r="H58" s="12">
        <v>419190</v>
      </c>
      <c r="I58" s="14" t="s">
        <v>370</v>
      </c>
      <c r="J58" s="12" t="s">
        <v>371</v>
      </c>
      <c r="K58" s="12">
        <v>1953</v>
      </c>
      <c r="L58" s="11" t="s">
        <v>71</v>
      </c>
      <c r="M58" s="12">
        <v>170</v>
      </c>
      <c r="N58" s="12" t="s">
        <v>96</v>
      </c>
      <c r="O58" s="12">
        <v>4075</v>
      </c>
      <c r="P58" s="15">
        <v>1364</v>
      </c>
      <c r="Q58" s="10">
        <v>2311</v>
      </c>
      <c r="R58" s="10">
        <v>1965</v>
      </c>
      <c r="S58" s="10"/>
      <c r="T58" s="10"/>
      <c r="U58" s="12">
        <v>73</v>
      </c>
      <c r="V58" s="12" t="s">
        <v>96</v>
      </c>
      <c r="W58" s="12"/>
      <c r="X58" s="12" t="s">
        <v>212</v>
      </c>
      <c r="Y58" s="12" t="s">
        <v>372</v>
      </c>
      <c r="Z58" s="12"/>
      <c r="AA58" s="12"/>
      <c r="AB58" s="12"/>
      <c r="AC58" s="12"/>
      <c r="AD58" s="12">
        <v>16558</v>
      </c>
      <c r="AE58" s="22"/>
    </row>
    <row r="59" spans="1:31" x14ac:dyDescent="0.3">
      <c r="A59" s="18"/>
      <c r="B59" s="16"/>
      <c r="C59" s="17">
        <v>5803</v>
      </c>
      <c r="D59" s="18" t="s">
        <v>352</v>
      </c>
      <c r="E59" s="18" t="s">
        <v>353</v>
      </c>
      <c r="F59" s="17" t="s">
        <v>209</v>
      </c>
      <c r="G59" s="19">
        <v>16559</v>
      </c>
      <c r="H59" s="18">
        <v>419180</v>
      </c>
      <c r="I59" s="20" t="s">
        <v>370</v>
      </c>
      <c r="J59" s="18" t="s">
        <v>373</v>
      </c>
      <c r="K59" s="18">
        <v>1954</v>
      </c>
      <c r="L59" s="17" t="s">
        <v>163</v>
      </c>
      <c r="M59" s="18">
        <v>70</v>
      </c>
      <c r="N59" s="18" t="s">
        <v>374</v>
      </c>
      <c r="O59" s="18">
        <v>3211</v>
      </c>
      <c r="P59" s="21">
        <v>2423</v>
      </c>
      <c r="Q59" s="16">
        <v>1897</v>
      </c>
      <c r="R59" s="16">
        <v>2861</v>
      </c>
      <c r="S59" s="16"/>
      <c r="T59" s="16"/>
      <c r="U59" s="18">
        <v>72</v>
      </c>
      <c r="V59" s="18" t="s">
        <v>374</v>
      </c>
      <c r="W59" s="18"/>
      <c r="X59" s="18" t="s">
        <v>212</v>
      </c>
      <c r="Y59" s="18" t="s">
        <v>375</v>
      </c>
      <c r="Z59" s="18"/>
      <c r="AA59" s="18"/>
      <c r="AB59" s="18"/>
      <c r="AC59" s="18"/>
      <c r="AD59" s="18">
        <v>16559</v>
      </c>
      <c r="AE59" s="23"/>
    </row>
    <row r="60" spans="1:31" x14ac:dyDescent="0.3">
      <c r="A60" s="12"/>
      <c r="B60" s="10"/>
      <c r="C60" s="11">
        <v>5803</v>
      </c>
      <c r="D60" s="12" t="s">
        <v>352</v>
      </c>
      <c r="E60" s="12" t="s">
        <v>353</v>
      </c>
      <c r="F60" s="11" t="s">
        <v>209</v>
      </c>
      <c r="G60" s="13">
        <v>949167</v>
      </c>
      <c r="H60" s="12"/>
      <c r="I60" s="14" t="s">
        <v>376</v>
      </c>
      <c r="J60" s="12" t="s">
        <v>377</v>
      </c>
      <c r="K60" s="12">
        <v>2013</v>
      </c>
      <c r="L60" s="11" t="s">
        <v>163</v>
      </c>
      <c r="M60" s="12">
        <v>14</v>
      </c>
      <c r="N60" s="12" t="s">
        <v>67</v>
      </c>
      <c r="O60" s="12"/>
      <c r="P60" s="15"/>
      <c r="Q60" s="10"/>
      <c r="R60" s="10"/>
      <c r="S60" s="10"/>
      <c r="T60" s="10"/>
      <c r="U60" s="12">
        <v>13</v>
      </c>
      <c r="V60" s="12" t="s">
        <v>67</v>
      </c>
      <c r="W60" s="12"/>
      <c r="X60" s="12" t="s">
        <v>339</v>
      </c>
      <c r="Y60" s="12" t="s">
        <v>378</v>
      </c>
      <c r="Z60" s="12"/>
      <c r="AA60" s="12"/>
      <c r="AB60" s="12"/>
      <c r="AC60" s="12"/>
      <c r="AD60" s="12"/>
      <c r="AE60" s="22"/>
    </row>
    <row r="61" spans="1:31" x14ac:dyDescent="0.3">
      <c r="A61" s="18"/>
      <c r="B61" s="16"/>
      <c r="C61" s="17">
        <v>5803</v>
      </c>
      <c r="D61" s="18" t="s">
        <v>352</v>
      </c>
      <c r="E61" s="18" t="s">
        <v>353</v>
      </c>
      <c r="F61" s="17" t="s">
        <v>209</v>
      </c>
      <c r="G61" s="19">
        <v>904393</v>
      </c>
      <c r="H61" s="18"/>
      <c r="I61" s="20" t="s">
        <v>376</v>
      </c>
      <c r="J61" s="18" t="s">
        <v>379</v>
      </c>
      <c r="K61" s="18">
        <v>1970</v>
      </c>
      <c r="L61" s="17" t="s">
        <v>163</v>
      </c>
      <c r="M61" s="18">
        <v>55</v>
      </c>
      <c r="N61" s="18" t="s">
        <v>147</v>
      </c>
      <c r="O61" s="18"/>
      <c r="P61" s="21"/>
      <c r="Q61" s="16"/>
      <c r="R61" s="16"/>
      <c r="S61" s="16"/>
      <c r="T61" s="16"/>
      <c r="U61" s="18">
        <v>56</v>
      </c>
      <c r="V61" s="18" t="s">
        <v>77</v>
      </c>
      <c r="W61" s="18"/>
      <c r="X61" s="18" t="s">
        <v>339</v>
      </c>
      <c r="Y61" s="18" t="s">
        <v>380</v>
      </c>
      <c r="Z61" s="18"/>
      <c r="AA61" s="18"/>
      <c r="AB61" s="18"/>
      <c r="AC61" s="18"/>
      <c r="AD61" s="18"/>
      <c r="AE61" s="23"/>
    </row>
    <row r="62" spans="1:31" x14ac:dyDescent="0.3">
      <c r="A62" s="12"/>
      <c r="B62" s="10"/>
      <c r="C62" s="11">
        <v>5803</v>
      </c>
      <c r="D62" s="12" t="s">
        <v>352</v>
      </c>
      <c r="E62" s="12" t="s">
        <v>353</v>
      </c>
      <c r="F62" s="11" t="s">
        <v>209</v>
      </c>
      <c r="G62" s="13">
        <v>15026</v>
      </c>
      <c r="H62" s="12">
        <v>1550508</v>
      </c>
      <c r="I62" s="14" t="s">
        <v>381</v>
      </c>
      <c r="J62" s="12" t="s">
        <v>371</v>
      </c>
      <c r="K62" s="12">
        <v>1955</v>
      </c>
      <c r="L62" s="11" t="s">
        <v>71</v>
      </c>
      <c r="M62" s="12">
        <v>170</v>
      </c>
      <c r="N62" s="12" t="s">
        <v>96</v>
      </c>
      <c r="O62" s="12">
        <v>3519</v>
      </c>
      <c r="P62" s="15">
        <v>2088</v>
      </c>
      <c r="Q62" s="10">
        <v>2164</v>
      </c>
      <c r="R62" s="10">
        <v>2346</v>
      </c>
      <c r="S62" s="10"/>
      <c r="T62" s="10"/>
      <c r="U62" s="12">
        <v>71</v>
      </c>
      <c r="V62" s="12" t="s">
        <v>96</v>
      </c>
      <c r="W62" s="12"/>
      <c r="X62" s="12" t="s">
        <v>212</v>
      </c>
      <c r="Y62" s="12" t="s">
        <v>382</v>
      </c>
      <c r="Z62" s="12"/>
      <c r="AA62" s="12"/>
      <c r="AB62" s="12"/>
      <c r="AC62" s="12"/>
      <c r="AD62" s="12">
        <v>15026</v>
      </c>
      <c r="AE62" s="22"/>
    </row>
    <row r="63" spans="1:31" x14ac:dyDescent="0.3">
      <c r="A63" s="18"/>
      <c r="B63" s="16"/>
      <c r="C63" s="17">
        <v>5803</v>
      </c>
      <c r="D63" s="18" t="s">
        <v>352</v>
      </c>
      <c r="E63" s="18" t="s">
        <v>353</v>
      </c>
      <c r="F63" s="17" t="s">
        <v>209</v>
      </c>
      <c r="G63" s="19">
        <v>15025</v>
      </c>
      <c r="H63" s="18">
        <v>7061951</v>
      </c>
      <c r="I63" s="20" t="s">
        <v>381</v>
      </c>
      <c r="J63" s="18" t="s">
        <v>345</v>
      </c>
      <c r="K63" s="18">
        <v>1951</v>
      </c>
      <c r="L63" s="17" t="s">
        <v>163</v>
      </c>
      <c r="M63" s="18">
        <v>75</v>
      </c>
      <c r="N63" s="18" t="s">
        <v>108</v>
      </c>
      <c r="O63" s="18">
        <v>3629</v>
      </c>
      <c r="P63" s="21">
        <v>1955</v>
      </c>
      <c r="Q63" s="16">
        <v>2248</v>
      </c>
      <c r="R63" s="16">
        <v>2146</v>
      </c>
      <c r="S63" s="16"/>
      <c r="T63" s="16"/>
      <c r="U63" s="18">
        <v>75</v>
      </c>
      <c r="V63" s="18" t="s">
        <v>108</v>
      </c>
      <c r="W63" s="18"/>
      <c r="X63" s="18" t="s">
        <v>212</v>
      </c>
      <c r="Y63" s="18" t="s">
        <v>383</v>
      </c>
      <c r="Z63" s="18"/>
      <c r="AA63" s="18"/>
      <c r="AB63" s="18"/>
      <c r="AC63" s="18"/>
      <c r="AD63" s="18">
        <v>15025</v>
      </c>
      <c r="AE63" s="23"/>
    </row>
    <row r="64" spans="1:31" x14ac:dyDescent="0.3">
      <c r="A64" s="12"/>
      <c r="B64" s="10"/>
      <c r="C64" s="11">
        <v>5803</v>
      </c>
      <c r="D64" s="12" t="s">
        <v>352</v>
      </c>
      <c r="E64" s="12" t="s">
        <v>353</v>
      </c>
      <c r="F64" s="11" t="s">
        <v>209</v>
      </c>
      <c r="G64" s="13">
        <v>942628</v>
      </c>
      <c r="H64" s="12"/>
      <c r="I64" s="14" t="s">
        <v>384</v>
      </c>
      <c r="J64" s="12" t="s">
        <v>219</v>
      </c>
      <c r="K64" s="12">
        <v>1974</v>
      </c>
      <c r="L64" s="11" t="s">
        <v>71</v>
      </c>
      <c r="M64" s="12">
        <v>150</v>
      </c>
      <c r="N64" s="12" t="s">
        <v>121</v>
      </c>
      <c r="O64" s="12"/>
      <c r="P64" s="15"/>
      <c r="Q64" s="10"/>
      <c r="R64" s="10"/>
      <c r="S64" s="10"/>
      <c r="T64" s="10"/>
      <c r="U64" s="12">
        <v>52</v>
      </c>
      <c r="V64" s="12" t="s">
        <v>121</v>
      </c>
      <c r="W64" s="12"/>
      <c r="X64" s="12" t="s">
        <v>339</v>
      </c>
      <c r="Y64" s="12" t="s">
        <v>385</v>
      </c>
      <c r="Z64" s="12"/>
      <c r="AA64" s="12"/>
      <c r="AB64" s="12"/>
      <c r="AC64" s="12"/>
      <c r="AD64" s="12"/>
      <c r="AE64" s="22"/>
    </row>
    <row r="65" spans="1:31" x14ac:dyDescent="0.3">
      <c r="A65" s="18"/>
      <c r="B65" s="16"/>
      <c r="C65" s="17">
        <v>5803</v>
      </c>
      <c r="D65" s="18" t="s">
        <v>352</v>
      </c>
      <c r="E65" s="18" t="s">
        <v>353</v>
      </c>
      <c r="F65" s="17" t="s">
        <v>209</v>
      </c>
      <c r="G65" s="19">
        <v>34523</v>
      </c>
      <c r="H65" s="18"/>
      <c r="I65" s="20" t="s">
        <v>384</v>
      </c>
      <c r="J65" s="18" t="s">
        <v>386</v>
      </c>
      <c r="K65" s="18">
        <v>1972</v>
      </c>
      <c r="L65" s="17" t="s">
        <v>163</v>
      </c>
      <c r="M65" s="18">
        <v>50</v>
      </c>
      <c r="N65" s="18" t="s">
        <v>77</v>
      </c>
      <c r="O65" s="18"/>
      <c r="P65" s="21"/>
      <c r="Q65" s="16"/>
      <c r="R65" s="16"/>
      <c r="S65" s="16"/>
      <c r="T65" s="16"/>
      <c r="U65" s="18">
        <v>54</v>
      </c>
      <c r="V65" s="18" t="s">
        <v>77</v>
      </c>
      <c r="W65" s="18"/>
      <c r="X65" s="18" t="s">
        <v>212</v>
      </c>
      <c r="Y65" s="18" t="s">
        <v>387</v>
      </c>
      <c r="Z65" s="18"/>
      <c r="AA65" s="18"/>
      <c r="AB65" s="18"/>
      <c r="AC65" s="18"/>
      <c r="AD65" s="18"/>
      <c r="AE65" s="23"/>
    </row>
    <row r="66" spans="1:31" x14ac:dyDescent="0.3">
      <c r="A66" s="12"/>
      <c r="B66" s="10"/>
      <c r="C66" s="11">
        <v>5803</v>
      </c>
      <c r="D66" s="12" t="s">
        <v>352</v>
      </c>
      <c r="E66" s="12" t="s">
        <v>353</v>
      </c>
      <c r="F66" s="11" t="s">
        <v>209</v>
      </c>
      <c r="G66" s="13">
        <v>942938</v>
      </c>
      <c r="H66" s="12"/>
      <c r="I66" s="14" t="s">
        <v>384</v>
      </c>
      <c r="J66" s="12" t="s">
        <v>388</v>
      </c>
      <c r="K66" s="12">
        <v>2003</v>
      </c>
      <c r="L66" s="11" t="s">
        <v>71</v>
      </c>
      <c r="M66" s="12">
        <v>121</v>
      </c>
      <c r="N66" s="12" t="s">
        <v>75</v>
      </c>
      <c r="O66" s="12"/>
      <c r="P66" s="15"/>
      <c r="Q66" s="10"/>
      <c r="R66" s="10"/>
      <c r="S66" s="10"/>
      <c r="T66" s="10"/>
      <c r="U66" s="12">
        <v>23</v>
      </c>
      <c r="V66" s="12" t="s">
        <v>75</v>
      </c>
      <c r="W66" s="12"/>
      <c r="X66" s="12" t="s">
        <v>339</v>
      </c>
      <c r="Y66" s="12" t="s">
        <v>389</v>
      </c>
      <c r="Z66" s="12"/>
      <c r="AA66" s="12"/>
      <c r="AB66" s="12"/>
      <c r="AC66" s="12"/>
      <c r="AD66" s="12"/>
      <c r="AE66" s="22"/>
    </row>
    <row r="67" spans="1:31" x14ac:dyDescent="0.3">
      <c r="A67" s="18"/>
      <c r="B67" s="16"/>
      <c r="C67" s="17">
        <v>5803</v>
      </c>
      <c r="D67" s="18" t="s">
        <v>352</v>
      </c>
      <c r="E67" s="18" t="s">
        <v>353</v>
      </c>
      <c r="F67" s="17" t="s">
        <v>209</v>
      </c>
      <c r="G67" s="19">
        <v>944511</v>
      </c>
      <c r="H67" s="18"/>
      <c r="I67" s="20" t="s">
        <v>384</v>
      </c>
      <c r="J67" s="18" t="s">
        <v>390</v>
      </c>
      <c r="K67" s="18">
        <v>1998</v>
      </c>
      <c r="L67" s="17" t="s">
        <v>163</v>
      </c>
      <c r="M67" s="18">
        <v>21</v>
      </c>
      <c r="N67" s="18" t="s">
        <v>89</v>
      </c>
      <c r="O67" s="18"/>
      <c r="P67" s="21"/>
      <c r="Q67" s="16"/>
      <c r="R67" s="16"/>
      <c r="S67" s="16"/>
      <c r="T67" s="16"/>
      <c r="U67" s="18">
        <v>28</v>
      </c>
      <c r="V67" s="18" t="s">
        <v>89</v>
      </c>
      <c r="W67" s="18"/>
      <c r="X67" s="18" t="s">
        <v>339</v>
      </c>
      <c r="Y67" s="18" t="s">
        <v>391</v>
      </c>
      <c r="Z67" s="18"/>
      <c r="AA67" s="18"/>
      <c r="AB67" s="18"/>
      <c r="AC67" s="18"/>
      <c r="AD67" s="18"/>
      <c r="AE67" s="23"/>
    </row>
    <row r="68" spans="1:31" x14ac:dyDescent="0.3">
      <c r="A68" s="12"/>
      <c r="B68" s="10"/>
      <c r="C68" s="11">
        <v>5803</v>
      </c>
      <c r="D68" s="12" t="s">
        <v>352</v>
      </c>
      <c r="E68" s="12" t="s">
        <v>353</v>
      </c>
      <c r="F68" s="11" t="s">
        <v>209</v>
      </c>
      <c r="G68" s="13">
        <v>11551</v>
      </c>
      <c r="H68" s="12">
        <v>339921</v>
      </c>
      <c r="I68" s="14" t="s">
        <v>392</v>
      </c>
      <c r="J68" s="12" t="s">
        <v>393</v>
      </c>
      <c r="K68" s="12">
        <v>1957</v>
      </c>
      <c r="L68" s="11" t="s">
        <v>163</v>
      </c>
      <c r="M68" s="12">
        <v>65</v>
      </c>
      <c r="N68" s="12" t="s">
        <v>72</v>
      </c>
      <c r="O68" s="12">
        <v>3223</v>
      </c>
      <c r="P68" s="15">
        <v>2411</v>
      </c>
      <c r="Q68" s="10"/>
      <c r="R68" s="10"/>
      <c r="S68" s="10"/>
      <c r="T68" s="10"/>
      <c r="U68" s="12">
        <v>69</v>
      </c>
      <c r="V68" s="12" t="s">
        <v>216</v>
      </c>
      <c r="W68" s="12"/>
      <c r="X68" s="12" t="s">
        <v>212</v>
      </c>
      <c r="Y68" s="12" t="s">
        <v>394</v>
      </c>
      <c r="Z68" s="12"/>
      <c r="AA68" s="12"/>
      <c r="AB68" s="12"/>
      <c r="AC68" s="12"/>
      <c r="AD68" s="12">
        <v>11551</v>
      </c>
      <c r="AE68" s="22"/>
    </row>
    <row r="69" spans="1:31" x14ac:dyDescent="0.3">
      <c r="A69" s="18"/>
      <c r="B69" s="16"/>
      <c r="C69" s="17">
        <v>5803</v>
      </c>
      <c r="D69" s="18" t="s">
        <v>352</v>
      </c>
      <c r="E69" s="18" t="s">
        <v>353</v>
      </c>
      <c r="F69" s="17" t="s">
        <v>209</v>
      </c>
      <c r="G69" s="19">
        <v>16916</v>
      </c>
      <c r="H69" s="18">
        <v>9002012</v>
      </c>
      <c r="I69" s="20" t="s">
        <v>395</v>
      </c>
      <c r="J69" s="18" t="s">
        <v>396</v>
      </c>
      <c r="K69" s="18">
        <v>1959</v>
      </c>
      <c r="L69" s="17" t="s">
        <v>163</v>
      </c>
      <c r="M69" s="18">
        <v>65</v>
      </c>
      <c r="N69" s="18" t="s">
        <v>72</v>
      </c>
      <c r="O69" s="18">
        <v>1430</v>
      </c>
      <c r="P69" s="21">
        <v>4024</v>
      </c>
      <c r="Q69" s="16"/>
      <c r="R69" s="16"/>
      <c r="S69" s="16"/>
      <c r="T69" s="16"/>
      <c r="U69" s="18">
        <v>67</v>
      </c>
      <c r="V69" s="18" t="s">
        <v>216</v>
      </c>
      <c r="W69" s="18"/>
      <c r="X69" s="18" t="s">
        <v>212</v>
      </c>
      <c r="Y69" s="18" t="s">
        <v>397</v>
      </c>
      <c r="Z69" s="18"/>
      <c r="AA69" s="18"/>
      <c r="AB69" s="18"/>
      <c r="AC69" s="18"/>
      <c r="AD69" s="18">
        <v>16916</v>
      </c>
      <c r="AE69" s="23"/>
    </row>
    <row r="70" spans="1:31" x14ac:dyDescent="0.3">
      <c r="A70" s="12"/>
      <c r="B70" s="10"/>
      <c r="C70" s="11">
        <v>5803</v>
      </c>
      <c r="D70" s="12" t="s">
        <v>352</v>
      </c>
      <c r="E70" s="12" t="s">
        <v>353</v>
      </c>
      <c r="F70" s="11" t="s">
        <v>209</v>
      </c>
      <c r="G70" s="13">
        <v>814201</v>
      </c>
      <c r="H70" s="12">
        <v>419166</v>
      </c>
      <c r="I70" s="14" t="s">
        <v>398</v>
      </c>
      <c r="J70" s="12" t="s">
        <v>373</v>
      </c>
      <c r="K70" s="12">
        <v>1966</v>
      </c>
      <c r="L70" s="11" t="s">
        <v>163</v>
      </c>
      <c r="M70" s="12">
        <v>60</v>
      </c>
      <c r="N70" s="12" t="s">
        <v>216</v>
      </c>
      <c r="O70" s="12"/>
      <c r="P70" s="15"/>
      <c r="Q70" s="10"/>
      <c r="R70" s="10"/>
      <c r="S70" s="10"/>
      <c r="T70" s="10"/>
      <c r="U70" s="12">
        <v>60</v>
      </c>
      <c r="V70" s="12" t="s">
        <v>216</v>
      </c>
      <c r="W70" s="12"/>
      <c r="X70" s="12" t="s">
        <v>295</v>
      </c>
      <c r="Y70" s="12" t="s">
        <v>399</v>
      </c>
      <c r="Z70" s="12"/>
      <c r="AA70" s="12"/>
      <c r="AB70" s="12"/>
      <c r="AC70" s="12"/>
      <c r="AD70" s="12"/>
      <c r="AE70" s="22"/>
    </row>
    <row r="71" spans="1:31" x14ac:dyDescent="0.3">
      <c r="A71" s="18"/>
      <c r="B71" s="16"/>
      <c r="C71" s="17">
        <v>5803</v>
      </c>
      <c r="D71" s="18" t="s">
        <v>352</v>
      </c>
      <c r="E71" s="18" t="s">
        <v>353</v>
      </c>
      <c r="F71" s="17" t="s">
        <v>209</v>
      </c>
      <c r="G71" s="19">
        <v>809332</v>
      </c>
      <c r="H71" s="18">
        <v>226049</v>
      </c>
      <c r="I71" s="20" t="s">
        <v>400</v>
      </c>
      <c r="J71" s="18" t="s">
        <v>281</v>
      </c>
      <c r="K71" s="18">
        <v>1962</v>
      </c>
      <c r="L71" s="17" t="s">
        <v>163</v>
      </c>
      <c r="M71" s="18">
        <v>60</v>
      </c>
      <c r="N71" s="18" t="s">
        <v>216</v>
      </c>
      <c r="O71" s="18"/>
      <c r="P71" s="21"/>
      <c r="Q71" s="16"/>
      <c r="R71" s="16"/>
      <c r="S71" s="16"/>
      <c r="T71" s="16"/>
      <c r="U71" s="18">
        <v>64</v>
      </c>
      <c r="V71" s="18" t="s">
        <v>216</v>
      </c>
      <c r="W71" s="18"/>
      <c r="X71" s="18" t="s">
        <v>295</v>
      </c>
      <c r="Y71" s="18" t="s">
        <v>401</v>
      </c>
      <c r="Z71" s="18"/>
      <c r="AA71" s="18"/>
      <c r="AB71" s="18"/>
      <c r="AC71" s="18"/>
      <c r="AD71" s="18"/>
      <c r="AE71" s="23"/>
    </row>
    <row r="72" spans="1:31" x14ac:dyDescent="0.3">
      <c r="A72" s="12"/>
      <c r="B72" s="10"/>
      <c r="C72" s="11">
        <v>5803</v>
      </c>
      <c r="D72" s="12" t="s">
        <v>352</v>
      </c>
      <c r="E72" s="12" t="s">
        <v>353</v>
      </c>
      <c r="F72" s="11" t="s">
        <v>209</v>
      </c>
      <c r="G72" s="13">
        <v>905749</v>
      </c>
      <c r="H72" s="12">
        <v>226056</v>
      </c>
      <c r="I72" s="14" t="s">
        <v>402</v>
      </c>
      <c r="J72" s="12" t="s">
        <v>373</v>
      </c>
      <c r="K72" s="12">
        <v>1949</v>
      </c>
      <c r="L72" s="11" t="s">
        <v>163</v>
      </c>
      <c r="M72" s="12">
        <v>75</v>
      </c>
      <c r="N72" s="12" t="s">
        <v>108</v>
      </c>
      <c r="O72" s="12"/>
      <c r="P72" s="15"/>
      <c r="Q72" s="10"/>
      <c r="R72" s="10"/>
      <c r="S72" s="10"/>
      <c r="T72" s="10"/>
      <c r="U72" s="12">
        <v>77</v>
      </c>
      <c r="V72" s="12" t="s">
        <v>108</v>
      </c>
      <c r="W72" s="12"/>
      <c r="X72" s="12" t="s">
        <v>339</v>
      </c>
      <c r="Y72" s="12" t="s">
        <v>403</v>
      </c>
      <c r="Z72" s="12"/>
      <c r="AA72" s="12"/>
      <c r="AB72" s="12"/>
      <c r="AC72" s="12"/>
      <c r="AD72" s="12"/>
      <c r="AE72" s="22"/>
    </row>
    <row r="73" spans="1:31" x14ac:dyDescent="0.3">
      <c r="A73" s="18"/>
      <c r="B73" s="16"/>
      <c r="C73" s="17">
        <v>5803</v>
      </c>
      <c r="D73" s="18" t="s">
        <v>352</v>
      </c>
      <c r="E73" s="18" t="s">
        <v>353</v>
      </c>
      <c r="F73" s="17" t="s">
        <v>209</v>
      </c>
      <c r="G73" s="19">
        <v>914202</v>
      </c>
      <c r="H73" s="18">
        <v>339922</v>
      </c>
      <c r="I73" s="20" t="s">
        <v>402</v>
      </c>
      <c r="J73" s="18" t="s">
        <v>404</v>
      </c>
      <c r="K73" s="18">
        <v>1948</v>
      </c>
      <c r="L73" s="17" t="s">
        <v>71</v>
      </c>
      <c r="M73" s="18">
        <v>175</v>
      </c>
      <c r="N73" s="18" t="s">
        <v>405</v>
      </c>
      <c r="O73" s="18"/>
      <c r="P73" s="21"/>
      <c r="Q73" s="16"/>
      <c r="R73" s="16"/>
      <c r="S73" s="16"/>
      <c r="T73" s="16"/>
      <c r="U73" s="18">
        <v>78</v>
      </c>
      <c r="V73" s="18" t="s">
        <v>405</v>
      </c>
      <c r="W73" s="18"/>
      <c r="X73" s="18" t="s">
        <v>339</v>
      </c>
      <c r="Y73" s="18" t="s">
        <v>406</v>
      </c>
      <c r="Z73" s="18"/>
      <c r="AA73" s="18"/>
      <c r="AB73" s="18"/>
      <c r="AC73" s="18"/>
      <c r="AD73" s="18"/>
      <c r="AE73" s="23"/>
    </row>
    <row r="74" spans="1:31" x14ac:dyDescent="0.3">
      <c r="A74" s="12"/>
      <c r="B74" s="10"/>
      <c r="C74" s="11">
        <v>5803</v>
      </c>
      <c r="D74" s="12" t="s">
        <v>352</v>
      </c>
      <c r="E74" s="12" t="s">
        <v>353</v>
      </c>
      <c r="F74" s="11" t="s">
        <v>209</v>
      </c>
      <c r="G74" s="13">
        <v>42221</v>
      </c>
      <c r="H74" s="12">
        <v>7501085</v>
      </c>
      <c r="I74" s="14" t="s">
        <v>407</v>
      </c>
      <c r="J74" s="12" t="s">
        <v>408</v>
      </c>
      <c r="K74" s="12">
        <v>1980</v>
      </c>
      <c r="L74" s="11" t="s">
        <v>71</v>
      </c>
      <c r="M74" s="12">
        <v>145</v>
      </c>
      <c r="N74" s="12" t="s">
        <v>409</v>
      </c>
      <c r="O74" s="12">
        <v>2144</v>
      </c>
      <c r="P74" s="15">
        <v>3390</v>
      </c>
      <c r="Q74" s="10"/>
      <c r="R74" s="10"/>
      <c r="S74" s="10"/>
      <c r="T74" s="10"/>
      <c r="U74" s="12">
        <v>46</v>
      </c>
      <c r="V74" s="12" t="s">
        <v>154</v>
      </c>
      <c r="W74" s="12"/>
      <c r="X74" s="12" t="s">
        <v>212</v>
      </c>
      <c r="Y74" s="12" t="s">
        <v>410</v>
      </c>
      <c r="Z74" s="12"/>
      <c r="AA74" s="12"/>
      <c r="AB74" s="12"/>
      <c r="AC74" s="12"/>
      <c r="AD74" s="12">
        <v>42221</v>
      </c>
      <c r="AE74" s="22"/>
    </row>
    <row r="75" spans="1:31" x14ac:dyDescent="0.3">
      <c r="A75" s="18"/>
      <c r="B75" s="16"/>
      <c r="C75" s="17">
        <v>5803</v>
      </c>
      <c r="D75" s="18" t="s">
        <v>352</v>
      </c>
      <c r="E75" s="18" t="s">
        <v>353</v>
      </c>
      <c r="F75" s="17" t="s">
        <v>209</v>
      </c>
      <c r="G75" s="19">
        <v>947816</v>
      </c>
      <c r="H75" s="18"/>
      <c r="I75" s="20" t="s">
        <v>411</v>
      </c>
      <c r="J75" s="18" t="s">
        <v>412</v>
      </c>
      <c r="K75" s="18">
        <v>1961</v>
      </c>
      <c r="L75" s="17" t="s">
        <v>163</v>
      </c>
      <c r="M75" s="18">
        <v>65</v>
      </c>
      <c r="N75" s="18" t="s">
        <v>72</v>
      </c>
      <c r="O75" s="18"/>
      <c r="P75" s="21"/>
      <c r="Q75" s="16"/>
      <c r="R75" s="16"/>
      <c r="S75" s="16"/>
      <c r="T75" s="16"/>
      <c r="U75" s="18">
        <v>65</v>
      </c>
      <c r="V75" s="18" t="s">
        <v>216</v>
      </c>
      <c r="W75" s="18"/>
      <c r="X75" s="18" t="s">
        <v>339</v>
      </c>
      <c r="Y75" s="18" t="s">
        <v>413</v>
      </c>
      <c r="Z75" s="18"/>
      <c r="AA75" s="18"/>
      <c r="AB75" s="18"/>
      <c r="AC75" s="18"/>
      <c r="AD75" s="18"/>
      <c r="AE75" s="23"/>
    </row>
    <row r="76" spans="1:31" x14ac:dyDescent="0.3">
      <c r="A76" s="12"/>
      <c r="B76" s="10"/>
      <c r="C76" s="11">
        <v>5803</v>
      </c>
      <c r="D76" s="12" t="s">
        <v>352</v>
      </c>
      <c r="E76" s="12" t="s">
        <v>353</v>
      </c>
      <c r="F76" s="11" t="s">
        <v>209</v>
      </c>
      <c r="G76" s="13">
        <v>22723</v>
      </c>
      <c r="H76" s="12">
        <v>8002420</v>
      </c>
      <c r="I76" s="14" t="s">
        <v>414</v>
      </c>
      <c r="J76" s="12" t="s">
        <v>415</v>
      </c>
      <c r="K76" s="12">
        <v>1973</v>
      </c>
      <c r="L76" s="11" t="s">
        <v>71</v>
      </c>
      <c r="M76" s="12">
        <v>150</v>
      </c>
      <c r="N76" s="12" t="s">
        <v>121</v>
      </c>
      <c r="O76" s="12">
        <v>2975</v>
      </c>
      <c r="P76" s="15">
        <v>2649</v>
      </c>
      <c r="Q76" s="10">
        <v>1466</v>
      </c>
      <c r="R76" s="10">
        <v>3443</v>
      </c>
      <c r="S76" s="10"/>
      <c r="T76" s="10"/>
      <c r="U76" s="12">
        <v>53</v>
      </c>
      <c r="V76" s="12" t="s">
        <v>121</v>
      </c>
      <c r="W76" s="12"/>
      <c r="X76" s="12" t="s">
        <v>212</v>
      </c>
      <c r="Y76" s="12" t="s">
        <v>416</v>
      </c>
      <c r="Z76" s="12"/>
      <c r="AA76" s="12"/>
      <c r="AB76" s="12"/>
      <c r="AC76" s="12"/>
      <c r="AD76" s="12">
        <v>22723</v>
      </c>
      <c r="AE76" s="22"/>
    </row>
    <row r="77" spans="1:31" x14ac:dyDescent="0.3">
      <c r="A77" s="18"/>
      <c r="B77" s="16"/>
      <c r="C77" s="17">
        <v>5803</v>
      </c>
      <c r="D77" s="18" t="s">
        <v>352</v>
      </c>
      <c r="E77" s="18" t="s">
        <v>353</v>
      </c>
      <c r="F77" s="17" t="s">
        <v>209</v>
      </c>
      <c r="G77" s="19">
        <v>915028</v>
      </c>
      <c r="H77" s="18">
        <v>2057085</v>
      </c>
      <c r="I77" s="20" t="s">
        <v>417</v>
      </c>
      <c r="J77" s="18" t="s">
        <v>418</v>
      </c>
      <c r="K77" s="18">
        <v>1957</v>
      </c>
      <c r="L77" s="17" t="s">
        <v>163</v>
      </c>
      <c r="M77" s="18">
        <v>65</v>
      </c>
      <c r="N77" s="18" t="s">
        <v>72</v>
      </c>
      <c r="O77" s="18"/>
      <c r="P77" s="21"/>
      <c r="Q77" s="16"/>
      <c r="R77" s="16"/>
      <c r="S77" s="16"/>
      <c r="T77" s="16"/>
      <c r="U77" s="18">
        <v>69</v>
      </c>
      <c r="V77" s="18" t="s">
        <v>216</v>
      </c>
      <c r="W77" s="18"/>
      <c r="X77" s="18" t="s">
        <v>339</v>
      </c>
      <c r="Y77" s="18" t="s">
        <v>419</v>
      </c>
      <c r="Z77" s="18"/>
      <c r="AA77" s="18"/>
      <c r="AB77" s="18"/>
      <c r="AC77" s="18"/>
      <c r="AD77" s="18"/>
      <c r="AE77" s="23"/>
    </row>
    <row r="78" spans="1:31" x14ac:dyDescent="0.3">
      <c r="A78" s="12"/>
      <c r="B78" s="10"/>
      <c r="C78" s="11">
        <v>5803</v>
      </c>
      <c r="D78" s="12" t="s">
        <v>352</v>
      </c>
      <c r="E78" s="12" t="s">
        <v>353</v>
      </c>
      <c r="F78" s="11" t="s">
        <v>209</v>
      </c>
      <c r="G78" s="13">
        <v>32174</v>
      </c>
      <c r="H78" s="12">
        <v>9001957</v>
      </c>
      <c r="I78" s="14" t="s">
        <v>420</v>
      </c>
      <c r="J78" s="12" t="s">
        <v>421</v>
      </c>
      <c r="K78" s="12">
        <v>1957</v>
      </c>
      <c r="L78" s="11" t="s">
        <v>71</v>
      </c>
      <c r="M78" s="12">
        <v>165</v>
      </c>
      <c r="N78" s="12" t="s">
        <v>124</v>
      </c>
      <c r="O78" s="12"/>
      <c r="P78" s="15"/>
      <c r="Q78" s="10"/>
      <c r="R78" s="10"/>
      <c r="S78" s="10"/>
      <c r="T78" s="10"/>
      <c r="U78" s="12">
        <v>69</v>
      </c>
      <c r="V78" s="12" t="s">
        <v>325</v>
      </c>
      <c r="W78" s="12"/>
      <c r="X78" s="12" t="s">
        <v>212</v>
      </c>
      <c r="Y78" s="12" t="s">
        <v>422</v>
      </c>
      <c r="Z78" s="12"/>
      <c r="AA78" s="12"/>
      <c r="AB78" s="12"/>
      <c r="AC78" s="12"/>
      <c r="AD78" s="12"/>
      <c r="AE78" s="22"/>
    </row>
    <row r="79" spans="1:31" x14ac:dyDescent="0.3">
      <c r="A79" s="18"/>
      <c r="B79" s="16"/>
      <c r="C79" s="17">
        <v>5803</v>
      </c>
      <c r="D79" s="18" t="s">
        <v>352</v>
      </c>
      <c r="E79" s="18" t="s">
        <v>353</v>
      </c>
      <c r="F79" s="17" t="s">
        <v>209</v>
      </c>
      <c r="G79" s="19">
        <v>41072</v>
      </c>
      <c r="H79" s="18">
        <v>8058012</v>
      </c>
      <c r="I79" s="20" t="s">
        <v>423</v>
      </c>
      <c r="J79" s="18" t="s">
        <v>424</v>
      </c>
      <c r="K79" s="18">
        <v>1980</v>
      </c>
      <c r="L79" s="17" t="s">
        <v>71</v>
      </c>
      <c r="M79" s="18">
        <v>145</v>
      </c>
      <c r="N79" s="18" t="s">
        <v>409</v>
      </c>
      <c r="O79" s="18"/>
      <c r="P79" s="21"/>
      <c r="Q79" s="16"/>
      <c r="R79" s="16"/>
      <c r="S79" s="16"/>
      <c r="T79" s="16"/>
      <c r="U79" s="18">
        <v>46</v>
      </c>
      <c r="V79" s="18" t="s">
        <v>154</v>
      </c>
      <c r="W79" s="18"/>
      <c r="X79" s="18" t="s">
        <v>212</v>
      </c>
      <c r="Y79" s="18" t="s">
        <v>425</v>
      </c>
      <c r="Z79" s="18"/>
      <c r="AA79" s="18"/>
      <c r="AB79" s="18"/>
      <c r="AC79" s="18"/>
      <c r="AD79" s="18"/>
      <c r="AE79" s="23"/>
    </row>
    <row r="80" spans="1:31" x14ac:dyDescent="0.3">
      <c r="A80" s="12"/>
      <c r="B80" s="10"/>
      <c r="C80" s="11">
        <v>5803</v>
      </c>
      <c r="D80" s="12" t="s">
        <v>352</v>
      </c>
      <c r="E80" s="12" t="s">
        <v>353</v>
      </c>
      <c r="F80" s="11" t="s">
        <v>209</v>
      </c>
      <c r="G80" s="13">
        <v>915024</v>
      </c>
      <c r="H80" s="12">
        <v>339925</v>
      </c>
      <c r="I80" s="14" t="s">
        <v>426</v>
      </c>
      <c r="J80" s="12" t="s">
        <v>418</v>
      </c>
      <c r="K80" s="12">
        <v>1958</v>
      </c>
      <c r="L80" s="11" t="s">
        <v>163</v>
      </c>
      <c r="M80" s="12">
        <v>65</v>
      </c>
      <c r="N80" s="12" t="s">
        <v>72</v>
      </c>
      <c r="O80" s="12"/>
      <c r="P80" s="15"/>
      <c r="Q80" s="10"/>
      <c r="R80" s="10"/>
      <c r="S80" s="10"/>
      <c r="T80" s="10"/>
      <c r="U80" s="12">
        <v>68</v>
      </c>
      <c r="V80" s="12" t="s">
        <v>216</v>
      </c>
      <c r="W80" s="12"/>
      <c r="X80" s="12" t="s">
        <v>339</v>
      </c>
      <c r="Y80" s="12" t="s">
        <v>427</v>
      </c>
      <c r="Z80" s="12"/>
      <c r="AA80" s="12"/>
      <c r="AB80" s="12"/>
      <c r="AC80" s="12"/>
      <c r="AD80" s="12"/>
      <c r="AE80" s="22"/>
    </row>
    <row r="81" spans="1:31" x14ac:dyDescent="0.3">
      <c r="A81" s="18"/>
      <c r="B81" s="16"/>
      <c r="C81" s="17">
        <v>5803</v>
      </c>
      <c r="D81" s="18" t="s">
        <v>352</v>
      </c>
      <c r="E81" s="18" t="s">
        <v>353</v>
      </c>
      <c r="F81" s="17" t="s">
        <v>209</v>
      </c>
      <c r="G81" s="19">
        <v>15020</v>
      </c>
      <c r="H81" s="18">
        <v>7590114</v>
      </c>
      <c r="I81" s="20" t="s">
        <v>327</v>
      </c>
      <c r="J81" s="18" t="s">
        <v>428</v>
      </c>
      <c r="K81" s="18">
        <v>1959</v>
      </c>
      <c r="L81" s="17" t="s">
        <v>71</v>
      </c>
      <c r="M81" s="18">
        <v>165</v>
      </c>
      <c r="N81" s="18" t="s">
        <v>124</v>
      </c>
      <c r="O81" s="18">
        <v>3893</v>
      </c>
      <c r="P81" s="21">
        <v>1624</v>
      </c>
      <c r="Q81" s="16">
        <v>2267</v>
      </c>
      <c r="R81" s="16">
        <v>2104</v>
      </c>
      <c r="S81" s="16"/>
      <c r="T81" s="16"/>
      <c r="U81" s="18">
        <v>67</v>
      </c>
      <c r="V81" s="18" t="s">
        <v>325</v>
      </c>
      <c r="W81" s="18"/>
      <c r="X81" s="18" t="s">
        <v>212</v>
      </c>
      <c r="Y81" s="18" t="s">
        <v>429</v>
      </c>
      <c r="Z81" s="18"/>
      <c r="AA81" s="18"/>
      <c r="AB81" s="18"/>
      <c r="AC81" s="18"/>
      <c r="AD81" s="18">
        <v>15020</v>
      </c>
      <c r="AE81" s="23"/>
    </row>
    <row r="82" spans="1:31" x14ac:dyDescent="0.3">
      <c r="A82" s="12"/>
      <c r="B82" s="10"/>
      <c r="C82" s="11">
        <v>5803</v>
      </c>
      <c r="D82" s="12" t="s">
        <v>352</v>
      </c>
      <c r="E82" s="12" t="s">
        <v>353</v>
      </c>
      <c r="F82" s="11" t="s">
        <v>209</v>
      </c>
      <c r="G82" s="13">
        <v>15023</v>
      </c>
      <c r="H82" s="12">
        <v>8120791</v>
      </c>
      <c r="I82" s="14" t="s">
        <v>327</v>
      </c>
      <c r="J82" s="12" t="s">
        <v>430</v>
      </c>
      <c r="K82" s="12">
        <v>1991</v>
      </c>
      <c r="L82" s="11" t="s">
        <v>163</v>
      </c>
      <c r="M82" s="12">
        <v>35</v>
      </c>
      <c r="N82" s="12" t="s">
        <v>264</v>
      </c>
      <c r="O82" s="12">
        <v>1880</v>
      </c>
      <c r="P82" s="15">
        <v>3608</v>
      </c>
      <c r="Q82" s="10"/>
      <c r="R82" s="10"/>
      <c r="S82" s="10"/>
      <c r="T82" s="10"/>
      <c r="U82" s="12">
        <v>35</v>
      </c>
      <c r="V82" s="12" t="s">
        <v>89</v>
      </c>
      <c r="W82" s="12"/>
      <c r="X82" s="12" t="s">
        <v>212</v>
      </c>
      <c r="Y82" s="12" t="s">
        <v>431</v>
      </c>
      <c r="Z82" s="12"/>
      <c r="AA82" s="12"/>
      <c r="AB82" s="12"/>
      <c r="AC82" s="12"/>
      <c r="AD82" s="12">
        <v>15023</v>
      </c>
      <c r="AE82" s="22"/>
    </row>
    <row r="83" spans="1:31" x14ac:dyDescent="0.3">
      <c r="A83" s="18"/>
      <c r="B83" s="16"/>
      <c r="C83" s="17">
        <v>5803</v>
      </c>
      <c r="D83" s="18" t="s">
        <v>352</v>
      </c>
      <c r="E83" s="18" t="s">
        <v>353</v>
      </c>
      <c r="F83" s="17" t="s">
        <v>209</v>
      </c>
      <c r="G83" s="19">
        <v>939596</v>
      </c>
      <c r="H83" s="18"/>
      <c r="I83" s="20" t="s">
        <v>432</v>
      </c>
      <c r="J83" s="18" t="s">
        <v>433</v>
      </c>
      <c r="K83" s="18">
        <v>1973</v>
      </c>
      <c r="L83" s="17" t="s">
        <v>71</v>
      </c>
      <c r="M83" s="18">
        <v>150</v>
      </c>
      <c r="N83" s="18" t="s">
        <v>121</v>
      </c>
      <c r="O83" s="18"/>
      <c r="P83" s="21"/>
      <c r="Q83" s="16"/>
      <c r="R83" s="16"/>
      <c r="S83" s="16"/>
      <c r="T83" s="16"/>
      <c r="U83" s="18">
        <v>53</v>
      </c>
      <c r="V83" s="18" t="s">
        <v>121</v>
      </c>
      <c r="W83" s="18"/>
      <c r="X83" s="18" t="s">
        <v>339</v>
      </c>
      <c r="Y83" s="18" t="s">
        <v>434</v>
      </c>
      <c r="Z83" s="18"/>
      <c r="AA83" s="18"/>
      <c r="AB83" s="18"/>
      <c r="AC83" s="18"/>
      <c r="AD83" s="18"/>
      <c r="AE83" s="23"/>
    </row>
    <row r="84" spans="1:31" x14ac:dyDescent="0.3">
      <c r="A84" s="12"/>
      <c r="B84" s="10"/>
      <c r="C84" s="11">
        <v>5803</v>
      </c>
      <c r="D84" s="12" t="s">
        <v>352</v>
      </c>
      <c r="E84" s="12" t="s">
        <v>353</v>
      </c>
      <c r="F84" s="11" t="s">
        <v>209</v>
      </c>
      <c r="G84" s="13">
        <v>936135</v>
      </c>
      <c r="H84" s="12">
        <v>1102049</v>
      </c>
      <c r="I84" s="14" t="s">
        <v>435</v>
      </c>
      <c r="J84" s="12" t="s">
        <v>418</v>
      </c>
      <c r="K84" s="12">
        <v>1949</v>
      </c>
      <c r="L84" s="11" t="s">
        <v>163</v>
      </c>
      <c r="M84" s="12">
        <v>75</v>
      </c>
      <c r="N84" s="12" t="s">
        <v>108</v>
      </c>
      <c r="O84" s="12"/>
      <c r="P84" s="15"/>
      <c r="Q84" s="10"/>
      <c r="R84" s="10"/>
      <c r="S84" s="10"/>
      <c r="T84" s="10"/>
      <c r="U84" s="12">
        <v>77</v>
      </c>
      <c r="V84" s="12" t="s">
        <v>108</v>
      </c>
      <c r="W84" s="12"/>
      <c r="X84" s="12" t="s">
        <v>339</v>
      </c>
      <c r="Y84" s="12" t="s">
        <v>436</v>
      </c>
      <c r="Z84" s="12"/>
      <c r="AA84" s="12"/>
      <c r="AB84" s="12"/>
      <c r="AC84" s="12"/>
      <c r="AD84" s="12"/>
      <c r="AE84" s="22"/>
    </row>
    <row r="85" spans="1:31" x14ac:dyDescent="0.3">
      <c r="A85" s="18"/>
      <c r="B85" s="16"/>
      <c r="C85" s="17">
        <v>5803</v>
      </c>
      <c r="D85" s="18" t="s">
        <v>352</v>
      </c>
      <c r="E85" s="18" t="s">
        <v>353</v>
      </c>
      <c r="F85" s="17" t="s">
        <v>209</v>
      </c>
      <c r="G85" s="19">
        <v>837772</v>
      </c>
      <c r="H85" s="18">
        <v>7005123</v>
      </c>
      <c r="I85" s="20" t="s">
        <v>437</v>
      </c>
      <c r="J85" s="18" t="s">
        <v>438</v>
      </c>
      <c r="K85" s="18">
        <v>1963</v>
      </c>
      <c r="L85" s="17" t="s">
        <v>71</v>
      </c>
      <c r="M85" s="18">
        <v>160</v>
      </c>
      <c r="N85" s="18" t="s">
        <v>325</v>
      </c>
      <c r="O85" s="18"/>
      <c r="P85" s="21"/>
      <c r="Q85" s="16"/>
      <c r="R85" s="16"/>
      <c r="S85" s="16"/>
      <c r="T85" s="16"/>
      <c r="U85" s="18">
        <v>63</v>
      </c>
      <c r="V85" s="18" t="s">
        <v>325</v>
      </c>
      <c r="W85" s="18"/>
      <c r="X85" s="18" t="s">
        <v>295</v>
      </c>
      <c r="Y85" s="18" t="s">
        <v>439</v>
      </c>
      <c r="Z85" s="18"/>
      <c r="AA85" s="18"/>
      <c r="AB85" s="18"/>
      <c r="AC85" s="18"/>
      <c r="AD85" s="18"/>
      <c r="AE85" s="23"/>
    </row>
    <row r="86" spans="1:31" x14ac:dyDescent="0.3">
      <c r="A86" s="12"/>
      <c r="B86" s="10"/>
      <c r="C86" s="11">
        <v>5803</v>
      </c>
      <c r="D86" s="12" t="s">
        <v>352</v>
      </c>
      <c r="E86" s="12" t="s">
        <v>353</v>
      </c>
      <c r="F86" s="11" t="s">
        <v>209</v>
      </c>
      <c r="G86" s="13">
        <v>932543</v>
      </c>
      <c r="H86" s="12">
        <v>1971961</v>
      </c>
      <c r="I86" s="14" t="s">
        <v>440</v>
      </c>
      <c r="J86" s="12" t="s">
        <v>276</v>
      </c>
      <c r="K86" s="12">
        <v>1961</v>
      </c>
      <c r="L86" s="11" t="s">
        <v>163</v>
      </c>
      <c r="M86" s="12">
        <v>65</v>
      </c>
      <c r="N86" s="12" t="s">
        <v>72</v>
      </c>
      <c r="O86" s="12"/>
      <c r="P86" s="15"/>
      <c r="Q86" s="10"/>
      <c r="R86" s="10"/>
      <c r="S86" s="10"/>
      <c r="T86" s="10"/>
      <c r="U86" s="12">
        <v>65</v>
      </c>
      <c r="V86" s="12" t="s">
        <v>216</v>
      </c>
      <c r="W86" s="12"/>
      <c r="X86" s="12" t="s">
        <v>339</v>
      </c>
      <c r="Y86" s="12" t="s">
        <v>441</v>
      </c>
      <c r="Z86" s="12"/>
      <c r="AA86" s="12"/>
      <c r="AB86" s="12"/>
      <c r="AC86" s="12"/>
      <c r="AD86" s="12"/>
      <c r="AE86" s="22"/>
    </row>
    <row r="87" spans="1:31" x14ac:dyDescent="0.3">
      <c r="A87" s="18"/>
      <c r="B87" s="16"/>
      <c r="C87" s="17">
        <v>5803</v>
      </c>
      <c r="D87" s="18" t="s">
        <v>352</v>
      </c>
      <c r="E87" s="18" t="s">
        <v>353</v>
      </c>
      <c r="F87" s="17" t="s">
        <v>209</v>
      </c>
      <c r="G87" s="19">
        <v>949675</v>
      </c>
      <c r="H87" s="18"/>
      <c r="I87" s="20" t="s">
        <v>440</v>
      </c>
      <c r="J87" s="18" t="s">
        <v>442</v>
      </c>
      <c r="K87" s="18">
        <v>1967</v>
      </c>
      <c r="L87" s="17" t="s">
        <v>71</v>
      </c>
      <c r="M87" s="18">
        <v>155</v>
      </c>
      <c r="N87" s="18" t="s">
        <v>268</v>
      </c>
      <c r="O87" s="18"/>
      <c r="P87" s="21"/>
      <c r="Q87" s="16"/>
      <c r="R87" s="16"/>
      <c r="S87" s="16"/>
      <c r="T87" s="16"/>
      <c r="U87" s="18">
        <v>59</v>
      </c>
      <c r="V87" s="18" t="s">
        <v>121</v>
      </c>
      <c r="W87" s="18"/>
      <c r="X87" s="18" t="s">
        <v>339</v>
      </c>
      <c r="Y87" s="18" t="s">
        <v>443</v>
      </c>
      <c r="Z87" s="18"/>
      <c r="AA87" s="18"/>
      <c r="AB87" s="18"/>
      <c r="AC87" s="18"/>
      <c r="AD87" s="18"/>
      <c r="AE87" s="23"/>
    </row>
    <row r="88" spans="1:31" x14ac:dyDescent="0.3">
      <c r="A88" s="12"/>
      <c r="B88" s="10"/>
      <c r="C88" s="11">
        <v>5803</v>
      </c>
      <c r="D88" s="12" t="s">
        <v>352</v>
      </c>
      <c r="E88" s="12" t="s">
        <v>353</v>
      </c>
      <c r="F88" s="11" t="s">
        <v>209</v>
      </c>
      <c r="G88" s="13">
        <v>39551</v>
      </c>
      <c r="H88" s="12">
        <v>8002199</v>
      </c>
      <c r="I88" s="14" t="s">
        <v>444</v>
      </c>
      <c r="J88" s="12" t="s">
        <v>445</v>
      </c>
      <c r="K88" s="12">
        <v>1971</v>
      </c>
      <c r="L88" s="11" t="s">
        <v>163</v>
      </c>
      <c r="M88" s="12">
        <v>55</v>
      </c>
      <c r="N88" s="12" t="s">
        <v>147</v>
      </c>
      <c r="O88" s="12">
        <v>1355</v>
      </c>
      <c r="P88" s="15">
        <v>4094</v>
      </c>
      <c r="Q88" s="10"/>
      <c r="R88" s="10"/>
      <c r="S88" s="10"/>
      <c r="T88" s="10"/>
      <c r="U88" s="12">
        <v>55</v>
      </c>
      <c r="V88" s="12" t="s">
        <v>77</v>
      </c>
      <c r="W88" s="12"/>
      <c r="X88" s="12" t="s">
        <v>212</v>
      </c>
      <c r="Y88" s="12" t="s">
        <v>446</v>
      </c>
      <c r="Z88" s="12"/>
      <c r="AA88" s="12"/>
      <c r="AB88" s="12"/>
      <c r="AC88" s="12"/>
      <c r="AD88" s="12">
        <v>39551</v>
      </c>
      <c r="AE88" s="22"/>
    </row>
    <row r="89" spans="1:31" x14ac:dyDescent="0.3">
      <c r="A89" s="18"/>
      <c r="B89" s="16"/>
      <c r="C89" s="17">
        <v>5803</v>
      </c>
      <c r="D89" s="18" t="s">
        <v>352</v>
      </c>
      <c r="E89" s="18" t="s">
        <v>353</v>
      </c>
      <c r="F89" s="17" t="s">
        <v>209</v>
      </c>
      <c r="G89" s="19">
        <v>802737</v>
      </c>
      <c r="H89" s="18">
        <v>38579</v>
      </c>
      <c r="I89" s="20" t="s">
        <v>447</v>
      </c>
      <c r="J89" s="18" t="s">
        <v>448</v>
      </c>
      <c r="K89" s="18">
        <v>1962</v>
      </c>
      <c r="L89" s="17" t="s">
        <v>163</v>
      </c>
      <c r="M89" s="18">
        <v>60</v>
      </c>
      <c r="N89" s="18" t="s">
        <v>216</v>
      </c>
      <c r="O89" s="18"/>
      <c r="P89" s="21"/>
      <c r="Q89" s="16"/>
      <c r="R89" s="16"/>
      <c r="S89" s="16"/>
      <c r="T89" s="16"/>
      <c r="U89" s="18">
        <v>64</v>
      </c>
      <c r="V89" s="18" t="s">
        <v>216</v>
      </c>
      <c r="W89" s="18"/>
      <c r="X89" s="18" t="s">
        <v>295</v>
      </c>
      <c r="Y89" s="18" t="s">
        <v>449</v>
      </c>
      <c r="Z89" s="18"/>
      <c r="AA89" s="18"/>
      <c r="AB89" s="18"/>
      <c r="AC89" s="18"/>
      <c r="AD89" s="18"/>
      <c r="AE89" s="23"/>
    </row>
    <row r="90" spans="1:31" x14ac:dyDescent="0.3">
      <c r="A90" s="12"/>
      <c r="B90" s="10"/>
      <c r="C90" s="11">
        <v>5803</v>
      </c>
      <c r="D90" s="12" t="s">
        <v>352</v>
      </c>
      <c r="E90" s="12" t="s">
        <v>353</v>
      </c>
      <c r="F90" s="11" t="s">
        <v>209</v>
      </c>
      <c r="G90" s="13">
        <v>38919</v>
      </c>
      <c r="H90" s="12">
        <v>8345959</v>
      </c>
      <c r="I90" s="14" t="s">
        <v>450</v>
      </c>
      <c r="J90" s="12" t="s">
        <v>451</v>
      </c>
      <c r="K90" s="12">
        <v>1989</v>
      </c>
      <c r="L90" s="11" t="s">
        <v>163</v>
      </c>
      <c r="M90" s="12">
        <v>35</v>
      </c>
      <c r="N90" s="12" t="s">
        <v>264</v>
      </c>
      <c r="O90" s="12"/>
      <c r="P90" s="15"/>
      <c r="Q90" s="10"/>
      <c r="R90" s="10"/>
      <c r="S90" s="10"/>
      <c r="T90" s="10"/>
      <c r="U90" s="12">
        <v>37</v>
      </c>
      <c r="V90" s="12" t="s">
        <v>89</v>
      </c>
      <c r="W90" s="12"/>
      <c r="X90" s="12" t="s">
        <v>212</v>
      </c>
      <c r="Y90" s="12" t="s">
        <v>452</v>
      </c>
      <c r="Z90" s="12"/>
      <c r="AA90" s="12"/>
      <c r="AB90" s="12"/>
      <c r="AC90" s="12"/>
      <c r="AD90" s="12"/>
      <c r="AE90" s="22"/>
    </row>
    <row r="91" spans="1:31" x14ac:dyDescent="0.3">
      <c r="A91" s="12"/>
      <c r="B91" s="10"/>
      <c r="C91" s="11"/>
      <c r="D91" s="12"/>
      <c r="E91" s="30"/>
      <c r="F91" s="11" t="s">
        <v>209</v>
      </c>
      <c r="G91" s="13"/>
      <c r="H91" s="32">
        <v>8890302</v>
      </c>
      <c r="I91" s="14" t="s">
        <v>484</v>
      </c>
      <c r="J91" s="30" t="s">
        <v>485</v>
      </c>
      <c r="K91" s="33"/>
      <c r="L91" s="11" t="s">
        <v>71</v>
      </c>
      <c r="M91" s="32"/>
      <c r="N91" s="12" t="s">
        <v>154</v>
      </c>
      <c r="O91" s="30"/>
      <c r="P91" s="34"/>
      <c r="Q91" s="10"/>
      <c r="R91" s="35"/>
      <c r="S91" s="10"/>
      <c r="T91" s="36"/>
      <c r="U91" s="33"/>
      <c r="V91" s="12"/>
      <c r="W91" s="32"/>
      <c r="X91" s="12"/>
      <c r="Y91" s="12" t="s">
        <v>179</v>
      </c>
      <c r="Z91" s="33"/>
      <c r="AA91" s="12"/>
      <c r="AB91" s="32"/>
      <c r="AC91" s="12"/>
      <c r="AD91" s="30"/>
      <c r="AE91" s="22"/>
    </row>
    <row r="92" spans="1:31" x14ac:dyDescent="0.3">
      <c r="A92" s="12"/>
      <c r="B92" s="10"/>
      <c r="C92" s="11"/>
      <c r="D92" s="12"/>
      <c r="E92" s="30"/>
      <c r="F92" s="11" t="s">
        <v>209</v>
      </c>
      <c r="G92" s="13">
        <v>890399</v>
      </c>
      <c r="H92" s="32"/>
      <c r="I92" s="14" t="s">
        <v>679</v>
      </c>
      <c r="J92" s="30" t="s">
        <v>680</v>
      </c>
      <c r="K92" s="33"/>
      <c r="L92" s="11"/>
      <c r="M92" s="32"/>
      <c r="N92" s="12"/>
      <c r="O92" s="30"/>
      <c r="P92" s="34"/>
      <c r="Q92" s="10"/>
      <c r="R92" s="35"/>
      <c r="S92" s="10"/>
      <c r="T92" s="36"/>
      <c r="U92" s="33"/>
      <c r="V92" s="12"/>
      <c r="W92" s="32"/>
      <c r="X92" s="12" t="s">
        <v>212</v>
      </c>
      <c r="Y92" s="30" t="str">
        <f>Tab_base[[#This Row],[Nom2]]&amp;(" ")&amp;Tab_base[[#This Row],[Prénom]]</f>
        <v>Ycône [Eric1, Mado, Eric2]</v>
      </c>
      <c r="Z92" s="33"/>
      <c r="AA92" s="12"/>
      <c r="AB92" s="32"/>
      <c r="AC92" s="12"/>
      <c r="AD92" s="30"/>
      <c r="AE92" s="22"/>
    </row>
    <row r="93" spans="1:31" x14ac:dyDescent="0.3">
      <c r="A93" s="12"/>
      <c r="B93" s="10"/>
      <c r="C93" s="11"/>
      <c r="D93" s="12"/>
      <c r="E93" s="30"/>
      <c r="F93" s="31"/>
      <c r="G93" s="13"/>
      <c r="H93" s="32" t="s">
        <v>690</v>
      </c>
      <c r="I93" s="14" t="s">
        <v>687</v>
      </c>
      <c r="J93" s="30" t="s">
        <v>688</v>
      </c>
      <c r="K93" s="33"/>
      <c r="L93" s="11"/>
      <c r="M93" s="32"/>
      <c r="N93" s="12" t="s">
        <v>690</v>
      </c>
      <c r="O93" s="30"/>
      <c r="P93" s="34"/>
      <c r="Q93" s="10"/>
      <c r="R93" s="35"/>
      <c r="S93" s="10"/>
      <c r="T93" s="36"/>
      <c r="U93" s="33"/>
      <c r="V93" s="12"/>
      <c r="W93" s="32"/>
      <c r="X93" s="12"/>
      <c r="Y93" s="30" t="str">
        <f>Tab_base[[#This Row],[Nom2]]&amp;(" ")&amp;Tab_base[[#This Row],[Prénom]]</f>
        <v>Total Participant</v>
      </c>
      <c r="Z93" s="33"/>
      <c r="AA93" s="12"/>
      <c r="AB93" s="32"/>
      <c r="AC93" s="12"/>
      <c r="AD93" s="30"/>
      <c r="AE93" s="22"/>
    </row>
    <row r="94" spans="1:31" x14ac:dyDescent="0.3">
      <c r="A94" s="12"/>
      <c r="B94" s="10"/>
      <c r="C94" s="11"/>
      <c r="D94" s="12"/>
      <c r="E94" s="30"/>
      <c r="F94" s="31"/>
      <c r="G94" s="13"/>
      <c r="H94" s="32"/>
      <c r="I94" s="14" t="s">
        <v>1079</v>
      </c>
      <c r="J94" s="30"/>
      <c r="K94" s="33"/>
      <c r="L94" s="11"/>
      <c r="M94" s="32"/>
      <c r="N94" s="12"/>
      <c r="O94" s="30"/>
      <c r="P94" s="34"/>
      <c r="Q94" s="10"/>
      <c r="R94" s="35"/>
      <c r="S94" s="10"/>
      <c r="T94" s="36"/>
      <c r="U94" s="33"/>
      <c r="V94" s="12"/>
      <c r="W94" s="32"/>
      <c r="X94" s="12"/>
      <c r="Y94" s="30" t="str">
        <f>Tab_base[[#This Row],[Nom2]]&amp;(" ")&amp;Tab_base[[#This Row],[Prénom]]</f>
        <v xml:space="preserve">INSCRIPTIONS COMPLEMENTAIRES </v>
      </c>
      <c r="Z94" s="33"/>
      <c r="AA94" s="12"/>
      <c r="AB94" s="32"/>
      <c r="AC94" s="12"/>
      <c r="AD94" s="30"/>
      <c r="AE94" s="2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89347-DFC0-4EE0-BB79-7FA3E80B7588}">
  <sheetPr codeName="Feuil13"/>
  <dimension ref="A1"/>
  <sheetViews>
    <sheetView workbookViewId="0">
      <selection activeCell="L24" sqref="L24"/>
    </sheetView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C08E-2FFA-4E62-9378-318FD530C2DB}">
  <sheetPr codeName="Feuil10"/>
  <dimension ref="A2:C248"/>
  <sheetViews>
    <sheetView workbookViewId="0">
      <selection sqref="A1:XFD2"/>
    </sheetView>
  </sheetViews>
  <sheetFormatPr baseColWidth="10" defaultRowHeight="14.4" x14ac:dyDescent="0.3"/>
  <cols>
    <col min="1" max="1" width="18" bestFit="1" customWidth="1"/>
    <col min="2" max="2" width="10.77734375" bestFit="1" customWidth="1"/>
    <col min="3" max="3" width="8.6640625" bestFit="1" customWidth="1"/>
    <col min="4" max="4" width="25.6640625" bestFit="1" customWidth="1"/>
    <col min="5" max="5" width="20.33203125" bestFit="1" customWidth="1"/>
    <col min="6" max="6" width="12" bestFit="1" customWidth="1"/>
  </cols>
  <sheetData>
    <row r="2" spans="1:3" x14ac:dyDescent="0.3">
      <c r="B2" s="2"/>
      <c r="C2" s="3"/>
    </row>
    <row r="3" spans="1:3" x14ac:dyDescent="0.3">
      <c r="A3" t="s">
        <v>895</v>
      </c>
      <c r="B3" s="2"/>
    </row>
    <row r="4" spans="1:3" x14ac:dyDescent="0.3">
      <c r="A4" t="s">
        <v>896</v>
      </c>
      <c r="B4" s="2"/>
    </row>
    <row r="5" spans="1:3" x14ac:dyDescent="0.3">
      <c r="A5" t="s">
        <v>897</v>
      </c>
      <c r="B5" s="2"/>
    </row>
    <row r="6" spans="1:3" x14ac:dyDescent="0.3">
      <c r="A6" t="s">
        <v>898</v>
      </c>
      <c r="B6" s="2"/>
    </row>
    <row r="7" spans="1:3" x14ac:dyDescent="0.3">
      <c r="A7" t="s">
        <v>899</v>
      </c>
      <c r="B7" s="2"/>
    </row>
    <row r="8" spans="1:3" x14ac:dyDescent="0.3">
      <c r="A8" t="s">
        <v>900</v>
      </c>
      <c r="B8" s="2"/>
    </row>
    <row r="9" spans="1:3" x14ac:dyDescent="0.3">
      <c r="B9" s="2"/>
    </row>
    <row r="10" spans="1:3" x14ac:dyDescent="0.3">
      <c r="A10" t="s">
        <v>901</v>
      </c>
      <c r="B10" s="2"/>
    </row>
    <row r="11" spans="1:3" x14ac:dyDescent="0.3">
      <c r="A11" t="s">
        <v>902</v>
      </c>
      <c r="B11" s="2"/>
    </row>
    <row r="12" spans="1:3" x14ac:dyDescent="0.3">
      <c r="A12" t="s">
        <v>903</v>
      </c>
      <c r="B12" s="2"/>
    </row>
    <row r="13" spans="1:3" x14ac:dyDescent="0.3">
      <c r="A13" t="s">
        <v>904</v>
      </c>
      <c r="B13" s="2"/>
    </row>
    <row r="14" spans="1:3" x14ac:dyDescent="0.3">
      <c r="A14" t="s">
        <v>905</v>
      </c>
      <c r="B14" s="2"/>
    </row>
    <row r="15" spans="1:3" x14ac:dyDescent="0.3">
      <c r="A15" t="s">
        <v>906</v>
      </c>
      <c r="B15" s="2"/>
    </row>
    <row r="16" spans="1:3" x14ac:dyDescent="0.3">
      <c r="A16" t="s">
        <v>907</v>
      </c>
      <c r="B16" s="2"/>
    </row>
    <row r="17" spans="1:2" x14ac:dyDescent="0.3">
      <c r="A17" t="s">
        <v>908</v>
      </c>
      <c r="B17" s="2"/>
    </row>
    <row r="18" spans="1:2" x14ac:dyDescent="0.3">
      <c r="A18" t="s">
        <v>909</v>
      </c>
      <c r="B18" s="2"/>
    </row>
    <row r="19" spans="1:2" x14ac:dyDescent="0.3">
      <c r="A19" t="s">
        <v>910</v>
      </c>
      <c r="B19" s="2"/>
    </row>
    <row r="20" spans="1:2" x14ac:dyDescent="0.3">
      <c r="A20" t="s">
        <v>911</v>
      </c>
      <c r="B20" s="2"/>
    </row>
    <row r="21" spans="1:2" x14ac:dyDescent="0.3">
      <c r="A21" t="s">
        <v>912</v>
      </c>
      <c r="B21" s="2"/>
    </row>
    <row r="22" spans="1:2" x14ac:dyDescent="0.3">
      <c r="A22" t="s">
        <v>913</v>
      </c>
      <c r="B22" s="2"/>
    </row>
    <row r="23" spans="1:2" x14ac:dyDescent="0.3">
      <c r="A23" t="s">
        <v>914</v>
      </c>
      <c r="B23" s="2"/>
    </row>
    <row r="24" spans="1:2" x14ac:dyDescent="0.3">
      <c r="A24" t="s">
        <v>915</v>
      </c>
      <c r="B24" s="2"/>
    </row>
    <row r="25" spans="1:2" x14ac:dyDescent="0.3">
      <c r="A25" t="s">
        <v>916</v>
      </c>
      <c r="B25" s="2"/>
    </row>
    <row r="26" spans="1:2" x14ac:dyDescent="0.3">
      <c r="A26" t="s">
        <v>917</v>
      </c>
      <c r="B26" s="2"/>
    </row>
    <row r="27" spans="1:2" x14ac:dyDescent="0.3">
      <c r="A27" t="s">
        <v>918</v>
      </c>
      <c r="B27" s="2"/>
    </row>
    <row r="28" spans="1:2" x14ac:dyDescent="0.3">
      <c r="A28" t="s">
        <v>919</v>
      </c>
      <c r="B28" s="2"/>
    </row>
    <row r="29" spans="1:2" x14ac:dyDescent="0.3">
      <c r="A29" t="s">
        <v>920</v>
      </c>
      <c r="B29" s="2"/>
    </row>
    <row r="30" spans="1:2" x14ac:dyDescent="0.3">
      <c r="A30" t="s">
        <v>921</v>
      </c>
      <c r="B30" s="2"/>
    </row>
    <row r="31" spans="1:2" x14ac:dyDescent="0.3">
      <c r="A31" t="s">
        <v>922</v>
      </c>
      <c r="B31" s="2"/>
    </row>
    <row r="32" spans="1:2" x14ac:dyDescent="0.3">
      <c r="A32" t="s">
        <v>923</v>
      </c>
      <c r="B32" s="2"/>
    </row>
    <row r="33" spans="1:2" x14ac:dyDescent="0.3">
      <c r="A33" t="s">
        <v>924</v>
      </c>
      <c r="B33" s="2"/>
    </row>
    <row r="34" spans="1:2" x14ac:dyDescent="0.3">
      <c r="A34" t="s">
        <v>925</v>
      </c>
      <c r="B34" s="2"/>
    </row>
    <row r="35" spans="1:2" x14ac:dyDescent="0.3">
      <c r="A35" t="s">
        <v>926</v>
      </c>
      <c r="B35" s="2"/>
    </row>
    <row r="36" spans="1:2" x14ac:dyDescent="0.3">
      <c r="A36" t="s">
        <v>927</v>
      </c>
      <c r="B36" s="2"/>
    </row>
    <row r="37" spans="1:2" x14ac:dyDescent="0.3">
      <c r="A37" t="s">
        <v>928</v>
      </c>
      <c r="B37" s="2"/>
    </row>
    <row r="38" spans="1:2" x14ac:dyDescent="0.3">
      <c r="A38" t="s">
        <v>929</v>
      </c>
      <c r="B38" s="2"/>
    </row>
    <row r="39" spans="1:2" x14ac:dyDescent="0.3">
      <c r="A39" t="s">
        <v>930</v>
      </c>
      <c r="B39" s="2"/>
    </row>
    <row r="40" spans="1:2" x14ac:dyDescent="0.3">
      <c r="A40" t="s">
        <v>931</v>
      </c>
      <c r="B40" s="2"/>
    </row>
    <row r="41" spans="1:2" x14ac:dyDescent="0.3">
      <c r="A41" t="s">
        <v>932</v>
      </c>
      <c r="B41" s="2"/>
    </row>
    <row r="42" spans="1:2" x14ac:dyDescent="0.3">
      <c r="A42" t="s">
        <v>933</v>
      </c>
      <c r="B42" s="2"/>
    </row>
    <row r="43" spans="1:2" x14ac:dyDescent="0.3">
      <c r="A43" t="s">
        <v>934</v>
      </c>
      <c r="B43" s="2"/>
    </row>
    <row r="44" spans="1:2" x14ac:dyDescent="0.3">
      <c r="A44" t="s">
        <v>935</v>
      </c>
      <c r="B44" s="2"/>
    </row>
    <row r="45" spans="1:2" x14ac:dyDescent="0.3">
      <c r="A45" t="s">
        <v>936</v>
      </c>
      <c r="B45" s="2"/>
    </row>
    <row r="46" spans="1:2" x14ac:dyDescent="0.3">
      <c r="A46" t="s">
        <v>937</v>
      </c>
      <c r="B46" s="2"/>
    </row>
    <row r="47" spans="1:2" x14ac:dyDescent="0.3">
      <c r="B47" s="2"/>
    </row>
    <row r="48" spans="1:2" x14ac:dyDescent="0.3">
      <c r="A48" t="s">
        <v>938</v>
      </c>
      <c r="B48" s="2"/>
    </row>
    <row r="49" spans="1:3" x14ac:dyDescent="0.3">
      <c r="A49" t="s">
        <v>939</v>
      </c>
      <c r="B49" s="2"/>
    </row>
    <row r="50" spans="1:3" x14ac:dyDescent="0.3">
      <c r="A50" t="s">
        <v>940</v>
      </c>
      <c r="B50" s="2"/>
    </row>
    <row r="51" spans="1:3" x14ac:dyDescent="0.3">
      <c r="A51" t="s">
        <v>941</v>
      </c>
      <c r="B51" s="2"/>
    </row>
    <row r="52" spans="1:3" x14ac:dyDescent="0.3">
      <c r="A52" t="s">
        <v>942</v>
      </c>
      <c r="B52" s="2"/>
    </row>
    <row r="53" spans="1:3" x14ac:dyDescent="0.3">
      <c r="A53" t="s">
        <v>943</v>
      </c>
    </row>
    <row r="54" spans="1:3" x14ac:dyDescent="0.3">
      <c r="A54" t="s">
        <v>944</v>
      </c>
    </row>
    <row r="55" spans="1:3" x14ac:dyDescent="0.3">
      <c r="A55" t="s">
        <v>945</v>
      </c>
    </row>
    <row r="56" spans="1:3" x14ac:dyDescent="0.3">
      <c r="A56" t="s">
        <v>946</v>
      </c>
    </row>
    <row r="57" spans="1:3" x14ac:dyDescent="0.3">
      <c r="A57" t="s">
        <v>947</v>
      </c>
    </row>
    <row r="58" spans="1:3" x14ac:dyDescent="0.3">
      <c r="A58" t="s">
        <v>948</v>
      </c>
    </row>
    <row r="59" spans="1:3" x14ac:dyDescent="0.3">
      <c r="A59" t="s">
        <v>949</v>
      </c>
    </row>
    <row r="60" spans="1:3" x14ac:dyDescent="0.3">
      <c r="A60" t="s">
        <v>950</v>
      </c>
    </row>
    <row r="61" spans="1:3" x14ac:dyDescent="0.3">
      <c r="A61" t="s">
        <v>951</v>
      </c>
    </row>
    <row r="62" spans="1:3" x14ac:dyDescent="0.3">
      <c r="A62" t="s">
        <v>952</v>
      </c>
    </row>
    <row r="63" spans="1:3" x14ac:dyDescent="0.3">
      <c r="A63" t="s">
        <v>953</v>
      </c>
      <c r="B63" s="5"/>
      <c r="C63" s="3"/>
    </row>
    <row r="64" spans="1:3" x14ac:dyDescent="0.3">
      <c r="A64" t="s">
        <v>954</v>
      </c>
      <c r="B64" s="5"/>
    </row>
    <row r="65" spans="1:2" x14ac:dyDescent="0.3">
      <c r="A65" t="s">
        <v>955</v>
      </c>
      <c r="B65" s="5"/>
    </row>
    <row r="66" spans="1:2" x14ac:dyDescent="0.3">
      <c r="A66" t="s">
        <v>956</v>
      </c>
      <c r="B66" s="2"/>
    </row>
    <row r="67" spans="1:2" x14ac:dyDescent="0.3">
      <c r="A67" t="s">
        <v>957</v>
      </c>
      <c r="B67" s="2"/>
    </row>
    <row r="68" spans="1:2" x14ac:dyDescent="0.3">
      <c r="A68" t="s">
        <v>958</v>
      </c>
      <c r="B68" s="2"/>
    </row>
    <row r="69" spans="1:2" x14ac:dyDescent="0.3">
      <c r="A69" t="s">
        <v>959</v>
      </c>
      <c r="B69" s="2"/>
    </row>
    <row r="70" spans="1:2" x14ac:dyDescent="0.3">
      <c r="A70" t="s">
        <v>960</v>
      </c>
      <c r="B70" s="2"/>
    </row>
    <row r="71" spans="1:2" x14ac:dyDescent="0.3">
      <c r="A71" t="s">
        <v>961</v>
      </c>
      <c r="B71" s="2"/>
    </row>
    <row r="72" spans="1:2" x14ac:dyDescent="0.3">
      <c r="B72" s="2"/>
    </row>
    <row r="73" spans="1:2" x14ac:dyDescent="0.3">
      <c r="B73" s="2"/>
    </row>
    <row r="74" spans="1:2" x14ac:dyDescent="0.3">
      <c r="B74" s="2"/>
    </row>
    <row r="75" spans="1:2" x14ac:dyDescent="0.3">
      <c r="B75" s="2"/>
    </row>
    <row r="76" spans="1:2" x14ac:dyDescent="0.3">
      <c r="B76" s="2"/>
    </row>
    <row r="77" spans="1:2" x14ac:dyDescent="0.3">
      <c r="B77" s="2"/>
    </row>
    <row r="78" spans="1:2" x14ac:dyDescent="0.3">
      <c r="B78" s="2"/>
    </row>
    <row r="79" spans="1:2" x14ac:dyDescent="0.3">
      <c r="B79" s="2"/>
    </row>
    <row r="80" spans="1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48" spans="2:3" x14ac:dyDescent="0.3">
      <c r="B148" s="2"/>
      <c r="C148" s="3"/>
    </row>
    <row r="149" spans="2:3" x14ac:dyDescent="0.3">
      <c r="B149" s="2"/>
    </row>
    <row r="150" spans="2:3" x14ac:dyDescent="0.3">
      <c r="B150" s="2"/>
    </row>
    <row r="151" spans="2:3" x14ac:dyDescent="0.3">
      <c r="B151" s="2"/>
    </row>
    <row r="152" spans="2:3" x14ac:dyDescent="0.3">
      <c r="B152" s="2"/>
    </row>
    <row r="153" spans="2:3" x14ac:dyDescent="0.3">
      <c r="B153" s="2"/>
    </row>
    <row r="154" spans="2:3" x14ac:dyDescent="0.3">
      <c r="B154" s="2"/>
    </row>
    <row r="155" spans="2:3" x14ac:dyDescent="0.3">
      <c r="B155" s="2"/>
    </row>
    <row r="156" spans="2:3" x14ac:dyDescent="0.3">
      <c r="B156" s="2"/>
    </row>
    <row r="157" spans="2:3" x14ac:dyDescent="0.3">
      <c r="B157" s="2"/>
    </row>
    <row r="158" spans="2:3" x14ac:dyDescent="0.3">
      <c r="B158" s="2"/>
    </row>
    <row r="159" spans="2:3" x14ac:dyDescent="0.3">
      <c r="B159" s="2"/>
    </row>
    <row r="160" spans="2:3" x14ac:dyDescent="0.3">
      <c r="B160" s="2"/>
    </row>
    <row r="161" spans="2:2" x14ac:dyDescent="0.3">
      <c r="B161" s="2"/>
    </row>
    <row r="179" spans="2:3" x14ac:dyDescent="0.3">
      <c r="B179" s="5"/>
      <c r="C179" s="3"/>
    </row>
    <row r="180" spans="2:3" x14ac:dyDescent="0.3">
      <c r="B180" s="5"/>
    </row>
    <row r="181" spans="2:3" x14ac:dyDescent="0.3">
      <c r="B181" s="5"/>
    </row>
    <row r="182" spans="2:3" x14ac:dyDescent="0.3">
      <c r="B182" s="5"/>
    </row>
    <row r="183" spans="2:3" x14ac:dyDescent="0.3">
      <c r="B183" s="5"/>
    </row>
    <row r="184" spans="2:3" x14ac:dyDescent="0.3">
      <c r="B184" s="5"/>
    </row>
    <row r="185" spans="2:3" x14ac:dyDescent="0.3">
      <c r="B185" s="5"/>
    </row>
    <row r="186" spans="2:3" x14ac:dyDescent="0.3">
      <c r="B186" s="2"/>
    </row>
    <row r="187" spans="2:3" x14ac:dyDescent="0.3">
      <c r="B187" s="2"/>
    </row>
    <row r="188" spans="2:3" x14ac:dyDescent="0.3">
      <c r="B188" s="2"/>
    </row>
    <row r="189" spans="2:3" x14ac:dyDescent="0.3">
      <c r="B189" s="2"/>
    </row>
    <row r="190" spans="2:3" x14ac:dyDescent="0.3">
      <c r="B190" s="2"/>
    </row>
    <row r="191" spans="2:3" x14ac:dyDescent="0.3">
      <c r="B191" s="2"/>
    </row>
    <row r="192" spans="2:3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15" spans="2:3" x14ac:dyDescent="0.3">
      <c r="B215" s="5"/>
      <c r="C215" s="3"/>
    </row>
    <row r="216" spans="2:3" x14ac:dyDescent="0.3">
      <c r="B216" s="2"/>
    </row>
    <row r="217" spans="2:3" x14ac:dyDescent="0.3">
      <c r="B217" s="2"/>
    </row>
    <row r="218" spans="2:3" x14ac:dyDescent="0.3">
      <c r="B218" s="2"/>
    </row>
    <row r="219" spans="2:3" x14ac:dyDescent="0.3">
      <c r="B219" s="2"/>
    </row>
    <row r="220" spans="2:3" x14ac:dyDescent="0.3">
      <c r="B220" s="2"/>
    </row>
    <row r="221" spans="2:3" x14ac:dyDescent="0.3">
      <c r="B221" s="2"/>
    </row>
    <row r="222" spans="2:3" x14ac:dyDescent="0.3">
      <c r="B222" s="2"/>
    </row>
    <row r="223" spans="2:3" x14ac:dyDescent="0.3">
      <c r="B223" s="2"/>
    </row>
    <row r="227" spans="2:3" x14ac:dyDescent="0.3">
      <c r="C227" s="140"/>
    </row>
    <row r="229" spans="2:3" x14ac:dyDescent="0.3">
      <c r="B229" s="3"/>
      <c r="C229" s="3"/>
    </row>
    <row r="230" spans="2:3" x14ac:dyDescent="0.3">
      <c r="B230" s="3"/>
    </row>
    <row r="231" spans="2:3" x14ac:dyDescent="0.3">
      <c r="B231" s="3"/>
    </row>
    <row r="232" spans="2:3" x14ac:dyDescent="0.3">
      <c r="B232" s="3"/>
    </row>
    <row r="233" spans="2:3" x14ac:dyDescent="0.3">
      <c r="B233" s="3"/>
    </row>
    <row r="234" spans="2:3" x14ac:dyDescent="0.3">
      <c r="B234" s="3"/>
    </row>
    <row r="235" spans="2:3" x14ac:dyDescent="0.3">
      <c r="B235" s="3"/>
    </row>
    <row r="236" spans="2:3" x14ac:dyDescent="0.3">
      <c r="B236" s="3"/>
    </row>
    <row r="242" spans="2:3" x14ac:dyDescent="0.3">
      <c r="B242" s="2"/>
      <c r="C242" s="3"/>
    </row>
    <row r="248" spans="2:3" x14ac:dyDescent="0.3">
      <c r="B248" s="2"/>
      <c r="C248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novembre</vt:lpstr>
      <vt:lpstr>pam</vt:lpstr>
      <vt:lpstr>encours</vt:lpstr>
      <vt:lpstr>notes</vt:lpstr>
      <vt:lpstr>octobre</vt:lpstr>
      <vt:lpstr>septembre</vt:lpstr>
      <vt:lpstr>aout</vt:lpstr>
      <vt:lpstr>ote</vt:lpstr>
      <vt:lpstr>avril</vt:lpstr>
      <vt:lpstr>mars</vt:lpstr>
      <vt:lpstr>fevrier</vt:lpstr>
      <vt:lpstr>janvier</vt:lpstr>
      <vt:lpstr>base</vt:lpstr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Eric Pierre</cp:lastModifiedBy>
  <dcterms:created xsi:type="dcterms:W3CDTF">2015-06-05T18:19:34Z</dcterms:created>
  <dcterms:modified xsi:type="dcterms:W3CDTF">2026-10-24T17:13:41Z</dcterms:modified>
</cp:coreProperties>
</file>